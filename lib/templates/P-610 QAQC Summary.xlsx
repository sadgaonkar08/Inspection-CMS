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S:\Department\DC\Contracts\11863 RWY 1R TWY W\6_CONSTRUCTION\6.2.0_Reports\6.2.07_QAQC\P-610\"/>
    </mc:Choice>
  </mc:AlternateContent>
  <xr:revisionPtr revIDLastSave="0" documentId="13_ncr:1_{7BFE1E0C-5F8E-48FE-94F2-CE18A496285C}" xr6:coauthVersionLast="47" xr6:coauthVersionMax="47" xr10:uidLastSave="{00000000-0000-0000-0000-000000000000}"/>
  <bookViews>
    <workbookView xWindow="57480" yWindow="-3720" windowWidth="29040" windowHeight="15720" xr2:uid="{00000000-000D-0000-FFFF-FFFF00000000}"/>
  </bookViews>
  <sheets>
    <sheet name="P-610 28-Day" sheetId="1" r:id="rId1"/>
    <sheet name="P-610 HES" sheetId="5" r:id="rId2"/>
    <sheet name="Concrete schedule" sheetId="2" r:id="rId3"/>
    <sheet name="Failing Concrete" sheetId="3" r:id="rId4"/>
    <sheet name="Sheet2" sheetId="6" r:id="rId5"/>
  </sheets>
  <definedNames>
    <definedName name="_xlnm._FilterDatabase" localSheetId="2" hidden="1">'Concrete schedule'!$A$1:$G$23</definedName>
    <definedName name="_xlnm._FilterDatabase" localSheetId="0" hidden="1">'P-610 28-Day'!$A$2:$AT$186</definedName>
    <definedName name="_xlnm._FilterDatabase" localSheetId="1" hidden="1">'P-610 HES'!$A$2:$AU$194</definedName>
    <definedName name="_xlnm.Print_Area" localSheetId="3">'Failing Concrete'!$A$1:$N$24</definedName>
    <definedName name="_xlnm.Print_Area" localSheetId="0">'P-610 28-Day'!$A$2:$T$42</definedName>
    <definedName name="_xlnm.Print_Area" localSheetId="1">'P-610 HES'!$A$2:$U$50</definedName>
    <definedName name="_xlnm.Print_Titles" localSheetId="0">'P-610 28-Day'!$2:$2</definedName>
    <definedName name="_xlnm.Print_Titles" localSheetId="1">'P-610 HES'!$2:$2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28" i="1" l="1"/>
  <c r="H29" i="1"/>
  <c r="M29" i="1"/>
  <c r="H30" i="1"/>
  <c r="M30" i="1"/>
  <c r="H15" i="1"/>
  <c r="H25" i="1"/>
  <c r="S14" i="1"/>
  <c r="M23" i="1"/>
  <c r="H23" i="1"/>
  <c r="M22" i="1"/>
  <c r="H22" i="1"/>
  <c r="P21" i="1"/>
  <c r="H21" i="1"/>
  <c r="H8" i="1"/>
  <c r="M33" i="1"/>
  <c r="H33" i="1"/>
  <c r="M32" i="1"/>
  <c r="H32" i="1"/>
  <c r="P31" i="1"/>
  <c r="H31" i="1"/>
  <c r="M27" i="1"/>
  <c r="H27" i="1"/>
  <c r="M26" i="1"/>
  <c r="H26" i="1"/>
  <c r="P24" i="1"/>
  <c r="H24" i="1"/>
  <c r="M20" i="1"/>
  <c r="H20" i="1"/>
  <c r="M19" i="1"/>
  <c r="H19" i="1"/>
  <c r="P18" i="1"/>
  <c r="H18" i="1"/>
  <c r="M17" i="1"/>
  <c r="H17" i="1"/>
  <c r="M16" i="1"/>
  <c r="H16" i="1"/>
  <c r="P14" i="1"/>
  <c r="H14" i="1"/>
  <c r="M13" i="1"/>
  <c r="H13" i="1"/>
  <c r="M12" i="1"/>
  <c r="H12" i="1"/>
  <c r="S11" i="1"/>
  <c r="P11" i="1"/>
  <c r="H11" i="1"/>
  <c r="H4" i="1"/>
  <c r="S3" i="1"/>
  <c r="S130" i="1"/>
  <c r="S136" i="1"/>
  <c r="S142" i="1"/>
  <c r="S148" i="1"/>
  <c r="S154" i="1"/>
  <c r="S160" i="1"/>
  <c r="S166" i="1"/>
  <c r="S172" i="1"/>
  <c r="S178" i="1"/>
  <c r="S184" i="1"/>
  <c r="S121" i="1"/>
  <c r="S124" i="1"/>
  <c r="S115" i="1"/>
  <c r="S118" i="1"/>
  <c r="S112" i="1"/>
  <c r="S106" i="1"/>
  <c r="S109" i="1"/>
  <c r="S100" i="1"/>
  <c r="S103" i="1"/>
  <c r="S94" i="1"/>
  <c r="S97" i="1"/>
  <c r="S88" i="1"/>
  <c r="S91" i="1"/>
  <c r="S82" i="1"/>
  <c r="S85" i="1"/>
  <c r="S76" i="1"/>
  <c r="S79" i="1"/>
  <c r="S70" i="1"/>
  <c r="S73" i="1"/>
  <c r="S64" i="1"/>
  <c r="S67" i="1"/>
  <c r="S52" i="1"/>
  <c r="S55" i="1"/>
  <c r="S58" i="1"/>
  <c r="S61" i="1"/>
  <c r="S46" i="1"/>
  <c r="S49" i="1"/>
  <c r="S40" i="1"/>
  <c r="S43" i="1"/>
  <c r="S34" i="1"/>
  <c r="S37" i="1"/>
  <c r="P121" i="1"/>
  <c r="P124" i="1"/>
  <c r="P127" i="1"/>
  <c r="P130" i="1"/>
  <c r="P133" i="1"/>
  <c r="P136" i="1"/>
  <c r="P139" i="1"/>
  <c r="P142" i="1"/>
  <c r="P145" i="1"/>
  <c r="P148" i="1"/>
  <c r="P151" i="1"/>
  <c r="P154" i="1"/>
  <c r="P157" i="1"/>
  <c r="P160" i="1"/>
  <c r="P163" i="1"/>
  <c r="P166" i="1"/>
  <c r="P169" i="1"/>
  <c r="P172" i="1"/>
  <c r="P175" i="1"/>
  <c r="P178" i="1"/>
  <c r="P181" i="1"/>
  <c r="P184" i="1"/>
  <c r="P115" i="1"/>
  <c r="P118" i="1"/>
  <c r="P34" i="1"/>
  <c r="P37" i="1"/>
  <c r="P40" i="1"/>
  <c r="P43" i="1"/>
  <c r="P46" i="1"/>
  <c r="P49" i="1"/>
  <c r="P52" i="1"/>
  <c r="P55" i="1"/>
  <c r="P58" i="1"/>
  <c r="P61" i="1"/>
  <c r="P64" i="1"/>
  <c r="P67" i="1"/>
  <c r="P70" i="1"/>
  <c r="P73" i="1"/>
  <c r="P76" i="1"/>
  <c r="P79" i="1"/>
  <c r="P82" i="1"/>
  <c r="P85" i="1"/>
  <c r="P88" i="1"/>
  <c r="P91" i="1"/>
  <c r="P94" i="1"/>
  <c r="P97" i="1"/>
  <c r="P100" i="1"/>
  <c r="P103" i="1"/>
  <c r="P106" i="1"/>
  <c r="P109" i="1"/>
  <c r="P112" i="1"/>
  <c r="P3" i="1"/>
  <c r="M6" i="1" l="1"/>
  <c r="H5" i="1"/>
  <c r="H3" i="1"/>
  <c r="N191" i="5"/>
  <c r="I191" i="5"/>
  <c r="N190" i="5"/>
  <c r="I190" i="5"/>
  <c r="I189" i="5"/>
  <c r="N188" i="5"/>
  <c r="I188" i="5"/>
  <c r="N187" i="5"/>
  <c r="I187" i="5"/>
  <c r="I186" i="5"/>
  <c r="N185" i="5"/>
  <c r="I185" i="5"/>
  <c r="N184" i="5"/>
  <c r="I184" i="5"/>
  <c r="I183" i="5"/>
  <c r="N182" i="5"/>
  <c r="I182" i="5"/>
  <c r="N181" i="5"/>
  <c r="I181" i="5"/>
  <c r="I180" i="5"/>
  <c r="N179" i="5"/>
  <c r="I179" i="5"/>
  <c r="N178" i="5"/>
  <c r="I178" i="5"/>
  <c r="I177" i="5"/>
  <c r="N176" i="5"/>
  <c r="I176" i="5"/>
  <c r="N175" i="5"/>
  <c r="I175" i="5"/>
  <c r="I174" i="5"/>
  <c r="N173" i="5"/>
  <c r="I173" i="5"/>
  <c r="N172" i="5"/>
  <c r="I172" i="5"/>
  <c r="I171" i="5"/>
  <c r="N170" i="5"/>
  <c r="I170" i="5"/>
  <c r="N169" i="5"/>
  <c r="I169" i="5"/>
  <c r="I168" i="5"/>
  <c r="N167" i="5"/>
  <c r="I167" i="5"/>
  <c r="N166" i="5"/>
  <c r="I166" i="5"/>
  <c r="I165" i="5"/>
  <c r="N164" i="5"/>
  <c r="I164" i="5"/>
  <c r="N163" i="5"/>
  <c r="I163" i="5"/>
  <c r="I162" i="5"/>
  <c r="N161" i="5"/>
  <c r="I161" i="5"/>
  <c r="N160" i="5"/>
  <c r="I160" i="5"/>
  <c r="I159" i="5"/>
  <c r="N158" i="5"/>
  <c r="I158" i="5"/>
  <c r="N157" i="5"/>
  <c r="I157" i="5"/>
  <c r="I156" i="5"/>
  <c r="N155" i="5"/>
  <c r="I155" i="5"/>
  <c r="N154" i="5"/>
  <c r="I154" i="5"/>
  <c r="I153" i="5"/>
  <c r="N152" i="5"/>
  <c r="I152" i="5"/>
  <c r="N151" i="5"/>
  <c r="I151" i="5"/>
  <c r="I150" i="5"/>
  <c r="N149" i="5"/>
  <c r="I149" i="5"/>
  <c r="N148" i="5"/>
  <c r="I148" i="5"/>
  <c r="I147" i="5"/>
  <c r="N146" i="5"/>
  <c r="I146" i="5"/>
  <c r="N145" i="5"/>
  <c r="I145" i="5"/>
  <c r="I144" i="5"/>
  <c r="N143" i="5"/>
  <c r="I143" i="5"/>
  <c r="N142" i="5"/>
  <c r="I142" i="5"/>
  <c r="Q141" i="5"/>
  <c r="I141" i="5"/>
  <c r="N140" i="5"/>
  <c r="I140" i="5"/>
  <c r="N139" i="5"/>
  <c r="I139" i="5"/>
  <c r="Q138" i="5"/>
  <c r="I138" i="5"/>
  <c r="N137" i="5"/>
  <c r="I137" i="5"/>
  <c r="N136" i="5"/>
  <c r="I136" i="5"/>
  <c r="Q135" i="5"/>
  <c r="I135" i="5"/>
  <c r="N134" i="5"/>
  <c r="I134" i="5"/>
  <c r="N133" i="5"/>
  <c r="I133" i="5"/>
  <c r="Q132" i="5"/>
  <c r="I132" i="5"/>
  <c r="N131" i="5"/>
  <c r="I131" i="5"/>
  <c r="N130" i="5"/>
  <c r="I130" i="5"/>
  <c r="Q129" i="5"/>
  <c r="I129" i="5"/>
  <c r="N128" i="5"/>
  <c r="I128" i="5"/>
  <c r="N127" i="5"/>
  <c r="I127" i="5"/>
  <c r="Q126" i="5"/>
  <c r="I126" i="5"/>
  <c r="N125" i="5"/>
  <c r="I125" i="5"/>
  <c r="N124" i="5"/>
  <c r="I124" i="5"/>
  <c r="Q123" i="5"/>
  <c r="I123" i="5"/>
  <c r="N122" i="5"/>
  <c r="I122" i="5"/>
  <c r="N121" i="5"/>
  <c r="I121" i="5"/>
  <c r="Q120" i="5"/>
  <c r="I120" i="5"/>
  <c r="N119" i="5"/>
  <c r="I119" i="5"/>
  <c r="N118" i="5"/>
  <c r="I118" i="5"/>
  <c r="Q117" i="5"/>
  <c r="I117" i="5"/>
  <c r="N116" i="5"/>
  <c r="I116" i="5"/>
  <c r="N115" i="5"/>
  <c r="I115" i="5"/>
  <c r="Q114" i="5"/>
  <c r="I114" i="5"/>
  <c r="N113" i="5"/>
  <c r="I113" i="5"/>
  <c r="N112" i="5"/>
  <c r="I112" i="5"/>
  <c r="Q111" i="5"/>
  <c r="I111" i="5"/>
  <c r="N110" i="5"/>
  <c r="I110" i="5"/>
  <c r="N109" i="5"/>
  <c r="I109" i="5"/>
  <c r="Q108" i="5"/>
  <c r="I108" i="5"/>
  <c r="N107" i="5"/>
  <c r="I107" i="5"/>
  <c r="N106" i="5"/>
  <c r="I106" i="5"/>
  <c r="Q105" i="5"/>
  <c r="I105" i="5"/>
  <c r="N104" i="5"/>
  <c r="I104" i="5"/>
  <c r="N103" i="5"/>
  <c r="I103" i="5"/>
  <c r="Q102" i="5"/>
  <c r="I102" i="5"/>
  <c r="N101" i="5"/>
  <c r="I101" i="5"/>
  <c r="N100" i="5"/>
  <c r="I100" i="5"/>
  <c r="Q99" i="5"/>
  <c r="I99" i="5"/>
  <c r="N98" i="5"/>
  <c r="I98" i="5"/>
  <c r="N97" i="5"/>
  <c r="I97" i="5"/>
  <c r="Q96" i="5"/>
  <c r="I96" i="5"/>
  <c r="N95" i="5"/>
  <c r="I95" i="5"/>
  <c r="N94" i="5"/>
  <c r="I94" i="5"/>
  <c r="Q93" i="5"/>
  <c r="I93" i="5"/>
  <c r="N92" i="5"/>
  <c r="I92" i="5"/>
  <c r="N91" i="5"/>
  <c r="I91" i="5"/>
  <c r="Q90" i="5"/>
  <c r="I90" i="5"/>
  <c r="N89" i="5"/>
  <c r="I89" i="5"/>
  <c r="N88" i="5"/>
  <c r="I88" i="5"/>
  <c r="Q87" i="5"/>
  <c r="I87" i="5"/>
  <c r="N86" i="5"/>
  <c r="I86" i="5"/>
  <c r="N85" i="5"/>
  <c r="I85" i="5"/>
  <c r="Q84" i="5"/>
  <c r="I84" i="5"/>
  <c r="N83" i="5"/>
  <c r="I83" i="5"/>
  <c r="N82" i="5"/>
  <c r="I82" i="5"/>
  <c r="Q81" i="5"/>
  <c r="I81" i="5"/>
  <c r="N80" i="5"/>
  <c r="I80" i="5"/>
  <c r="N79" i="5"/>
  <c r="I79" i="5"/>
  <c r="Q78" i="5"/>
  <c r="I78" i="5"/>
  <c r="N77" i="5"/>
  <c r="I77" i="5"/>
  <c r="N76" i="5"/>
  <c r="I76" i="5"/>
  <c r="Q75" i="5"/>
  <c r="I75" i="5"/>
  <c r="N74" i="5"/>
  <c r="I74" i="5"/>
  <c r="N73" i="5"/>
  <c r="I73" i="5"/>
  <c r="Q72" i="5"/>
  <c r="I72" i="5"/>
  <c r="N71" i="5"/>
  <c r="I71" i="5"/>
  <c r="N70" i="5"/>
  <c r="I70" i="5"/>
  <c r="Q69" i="5"/>
  <c r="I69" i="5"/>
  <c r="N68" i="5"/>
  <c r="I68" i="5"/>
  <c r="N67" i="5"/>
  <c r="I67" i="5"/>
  <c r="Q66" i="5"/>
  <c r="I66" i="5"/>
  <c r="N65" i="5"/>
  <c r="I65" i="5"/>
  <c r="N64" i="5"/>
  <c r="I64" i="5"/>
  <c r="Q63" i="5"/>
  <c r="I63" i="5"/>
  <c r="N62" i="5"/>
  <c r="I62" i="5"/>
  <c r="N61" i="5"/>
  <c r="I61" i="5"/>
  <c r="Q60" i="5"/>
  <c r="I60" i="5"/>
  <c r="N59" i="5"/>
  <c r="I59" i="5"/>
  <c r="N58" i="5"/>
  <c r="I58" i="5"/>
  <c r="Q57" i="5"/>
  <c r="I57" i="5"/>
  <c r="N56" i="5"/>
  <c r="I56" i="5"/>
  <c r="N55" i="5"/>
  <c r="I55" i="5"/>
  <c r="T54" i="5"/>
  <c r="Q54" i="5"/>
  <c r="I54" i="5"/>
  <c r="N53" i="5"/>
  <c r="I53" i="5"/>
  <c r="N52" i="5"/>
  <c r="I52" i="5"/>
  <c r="T51" i="5"/>
  <c r="Q51" i="5"/>
  <c r="I51" i="5"/>
  <c r="N50" i="5"/>
  <c r="I50" i="5"/>
  <c r="N49" i="5"/>
  <c r="I49" i="5"/>
  <c r="T48" i="5"/>
  <c r="Q48" i="5"/>
  <c r="I48" i="5"/>
  <c r="N47" i="5"/>
  <c r="I47" i="5"/>
  <c r="N46" i="5"/>
  <c r="I46" i="5"/>
  <c r="T45" i="5"/>
  <c r="Q45" i="5"/>
  <c r="I45" i="5"/>
  <c r="N44" i="5"/>
  <c r="I44" i="5"/>
  <c r="N43" i="5"/>
  <c r="I43" i="5"/>
  <c r="T42" i="5"/>
  <c r="Q42" i="5"/>
  <c r="I42" i="5"/>
  <c r="N41" i="5"/>
  <c r="I41" i="5"/>
  <c r="N40" i="5"/>
  <c r="I40" i="5"/>
  <c r="T39" i="5"/>
  <c r="Q39" i="5"/>
  <c r="I39" i="5"/>
  <c r="N38" i="5"/>
  <c r="I38" i="5"/>
  <c r="N37" i="5"/>
  <c r="I37" i="5"/>
  <c r="T36" i="5"/>
  <c r="Q36" i="5"/>
  <c r="I36" i="5"/>
  <c r="N35" i="5"/>
  <c r="I35" i="5"/>
  <c r="N34" i="5"/>
  <c r="I34" i="5"/>
  <c r="T33" i="5"/>
  <c r="Q33" i="5"/>
  <c r="I33" i="5"/>
  <c r="N32" i="5"/>
  <c r="I32" i="5"/>
  <c r="N31" i="5"/>
  <c r="I31" i="5"/>
  <c r="T30" i="5"/>
  <c r="Q30" i="5"/>
  <c r="I30" i="5"/>
  <c r="N29" i="5"/>
  <c r="I29" i="5"/>
  <c r="N28" i="5"/>
  <c r="I28" i="5"/>
  <c r="T27" i="5"/>
  <c r="Q27" i="5"/>
  <c r="I27" i="5"/>
  <c r="N26" i="5"/>
  <c r="I26" i="5"/>
  <c r="N25" i="5"/>
  <c r="I25" i="5"/>
  <c r="T24" i="5"/>
  <c r="Q24" i="5"/>
  <c r="I24" i="5"/>
  <c r="N23" i="5"/>
  <c r="I23" i="5"/>
  <c r="N22" i="5"/>
  <c r="I22" i="5"/>
  <c r="T21" i="5"/>
  <c r="Q21" i="5"/>
  <c r="I21" i="5"/>
  <c r="N20" i="5"/>
  <c r="I20" i="5"/>
  <c r="N19" i="5"/>
  <c r="I19" i="5"/>
  <c r="T18" i="5"/>
  <c r="Q18" i="5"/>
  <c r="I18" i="5"/>
  <c r="N17" i="5"/>
  <c r="I17" i="5"/>
  <c r="N16" i="5"/>
  <c r="I16" i="5"/>
  <c r="T15" i="5"/>
  <c r="Q15" i="5"/>
  <c r="I15" i="5"/>
  <c r="N14" i="5"/>
  <c r="I14" i="5"/>
  <c r="N13" i="5"/>
  <c r="I13" i="5"/>
  <c r="T12" i="5"/>
  <c r="Q12" i="5"/>
  <c r="I12" i="5"/>
  <c r="N11" i="5"/>
  <c r="I11" i="5"/>
  <c r="N10" i="5"/>
  <c r="I10" i="5"/>
  <c r="T9" i="5"/>
  <c r="Q9" i="5"/>
  <c r="I9" i="5"/>
  <c r="N8" i="5"/>
  <c r="I8" i="5"/>
  <c r="N7" i="5"/>
  <c r="I7" i="5"/>
  <c r="T6" i="5"/>
  <c r="Q6" i="5"/>
  <c r="I6" i="5"/>
  <c r="N5" i="5"/>
  <c r="I5" i="5"/>
  <c r="N4" i="5"/>
  <c r="I4" i="5"/>
  <c r="T3" i="5"/>
  <c r="Q3" i="5"/>
  <c r="I3" i="5"/>
  <c r="M35" i="1"/>
  <c r="M36" i="1"/>
  <c r="M38" i="1"/>
  <c r="M39" i="1"/>
  <c r="M41" i="1"/>
  <c r="M42" i="1"/>
  <c r="M44" i="1"/>
  <c r="M45" i="1"/>
  <c r="M47" i="1"/>
  <c r="M48" i="1"/>
  <c r="M50" i="1"/>
  <c r="M51" i="1"/>
  <c r="M53" i="1"/>
  <c r="M54" i="1"/>
  <c r="M56" i="1"/>
  <c r="M57" i="1"/>
  <c r="M59" i="1"/>
  <c r="M60" i="1"/>
  <c r="M62" i="1"/>
  <c r="M63" i="1"/>
  <c r="M65" i="1"/>
  <c r="M66" i="1"/>
  <c r="M68" i="1"/>
  <c r="M69" i="1"/>
  <c r="M71" i="1"/>
  <c r="M72" i="1"/>
  <c r="M74" i="1"/>
  <c r="M75" i="1"/>
  <c r="M77" i="1"/>
  <c r="M78" i="1"/>
  <c r="M80" i="1"/>
  <c r="M81" i="1"/>
  <c r="M83" i="1"/>
  <c r="M84" i="1"/>
  <c r="M86" i="1"/>
  <c r="M87" i="1"/>
  <c r="M89" i="1"/>
  <c r="M90" i="1"/>
  <c r="M92" i="1"/>
  <c r="M93" i="1"/>
  <c r="M95" i="1"/>
  <c r="M96" i="1"/>
  <c r="M98" i="1"/>
  <c r="M99" i="1"/>
  <c r="M101" i="1"/>
  <c r="M102" i="1"/>
  <c r="M104" i="1"/>
  <c r="M105" i="1"/>
  <c r="M107" i="1"/>
  <c r="M108" i="1"/>
  <c r="M110" i="1"/>
  <c r="M111" i="1"/>
  <c r="M113" i="1"/>
  <c r="M114" i="1"/>
  <c r="M116" i="1"/>
  <c r="M117" i="1"/>
  <c r="M119" i="1"/>
  <c r="M120" i="1"/>
  <c r="M122" i="1"/>
  <c r="M123" i="1"/>
  <c r="M125" i="1"/>
  <c r="M126" i="1"/>
  <c r="M128" i="1"/>
  <c r="M129" i="1"/>
  <c r="M131" i="1"/>
  <c r="M132" i="1"/>
  <c r="M134" i="1"/>
  <c r="M135" i="1"/>
  <c r="M137" i="1"/>
  <c r="M138" i="1"/>
  <c r="M140" i="1"/>
  <c r="M141" i="1"/>
  <c r="M143" i="1"/>
  <c r="M144" i="1"/>
  <c r="M146" i="1"/>
  <c r="M147" i="1"/>
  <c r="M149" i="1"/>
  <c r="M150" i="1"/>
  <c r="M152" i="1"/>
  <c r="M153" i="1"/>
  <c r="M155" i="1"/>
  <c r="M156" i="1"/>
  <c r="M158" i="1"/>
  <c r="M159" i="1"/>
  <c r="M161" i="1"/>
  <c r="M162" i="1"/>
  <c r="M164" i="1"/>
  <c r="M165" i="1"/>
  <c r="M167" i="1"/>
  <c r="M168" i="1"/>
  <c r="M170" i="1"/>
  <c r="M171" i="1"/>
  <c r="M173" i="1"/>
  <c r="M174" i="1"/>
  <c r="M176" i="1"/>
  <c r="M177" i="1"/>
  <c r="M179" i="1"/>
  <c r="M180" i="1"/>
  <c r="M182" i="1"/>
  <c r="M183" i="1"/>
  <c r="H103" i="1"/>
  <c r="H104" i="1"/>
  <c r="H105" i="1"/>
  <c r="H106" i="1"/>
  <c r="H107" i="1"/>
  <c r="H108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7" i="1"/>
  <c r="M9" i="1"/>
  <c r="M10" i="1"/>
  <c r="H9" i="1"/>
  <c r="H10" i="1"/>
  <c r="H6" i="1"/>
  <c r="M4" i="3" l="1"/>
  <c r="M3" i="3"/>
  <c r="K30" i="2" l="1"/>
  <c r="A56" i="2"/>
  <c r="K45" i="2"/>
  <c r="I38" i="2"/>
  <c r="K38" i="2"/>
  <c r="K41" i="2"/>
  <c r="G45" i="2"/>
  <c r="I41" i="2"/>
  <c r="D53" i="2"/>
  <c r="A55" i="2"/>
  <c r="A57" i="2" s="1"/>
  <c r="A58" i="2" s="1"/>
  <c r="A59" i="2" s="1"/>
  <c r="A60" i="2" s="1"/>
  <c r="A61" i="2" s="1"/>
  <c r="K47" i="2"/>
  <c r="I47" i="2"/>
  <c r="K44" i="2" l="1"/>
  <c r="K32" i="2"/>
  <c r="K33" i="2"/>
  <c r="K34" i="2"/>
  <c r="K31" i="2"/>
  <c r="K29" i="2"/>
  <c r="G31" i="2"/>
  <c r="G32" i="2"/>
  <c r="G33" i="2"/>
  <c r="G34" i="2"/>
  <c r="K16" i="2" l="1"/>
  <c r="I9" i="2" l="1"/>
  <c r="I30" i="2"/>
  <c r="G30" i="2"/>
  <c r="G29" i="2"/>
  <c r="K37" i="2"/>
  <c r="I37" i="2"/>
  <c r="D21" i="2" l="1"/>
  <c r="D19" i="2"/>
  <c r="D18" i="2"/>
  <c r="D14" i="2"/>
  <c r="D11" i="2"/>
  <c r="D10" i="2"/>
  <c r="D9" i="2"/>
  <c r="D6" i="2"/>
  <c r="D5" i="2"/>
  <c r="D4" i="2"/>
  <c r="D3" i="2"/>
  <c r="K9" i="2"/>
  <c r="K20" i="2"/>
  <c r="M20" i="2"/>
  <c r="G22" i="2"/>
  <c r="G21" i="2"/>
  <c r="G9" i="2"/>
  <c r="G18" i="2"/>
  <c r="G16" i="2"/>
  <c r="G15" i="2"/>
  <c r="K24" i="2"/>
  <c r="M24" i="2"/>
  <c r="D62" i="2" l="1"/>
  <c r="G14" i="2"/>
  <c r="M17" i="2"/>
  <c r="M3" i="2"/>
  <c r="M4" i="2"/>
  <c r="M5" i="2"/>
  <c r="M6" i="2"/>
  <c r="M10" i="2"/>
  <c r="M11" i="2"/>
  <c r="M12" i="2"/>
  <c r="M14" i="2"/>
  <c r="M15" i="2"/>
  <c r="M18" i="2"/>
  <c r="M19" i="2"/>
  <c r="M21" i="2"/>
  <c r="M22" i="2"/>
  <c r="M2" i="2"/>
  <c r="G19" i="2"/>
  <c r="G17" i="2"/>
  <c r="I17" i="2"/>
  <c r="K17" i="2"/>
  <c r="K10" i="2"/>
  <c r="K18" i="2"/>
  <c r="K19" i="2"/>
  <c r="K21" i="2"/>
  <c r="K22" i="2"/>
  <c r="I21" i="2"/>
  <c r="I22" i="2"/>
  <c r="G10" i="2"/>
  <c r="K3" i="2"/>
  <c r="K4" i="2"/>
  <c r="K5" i="2"/>
  <c r="K6" i="2"/>
  <c r="K11" i="2"/>
  <c r="K12" i="2"/>
  <c r="K14" i="2"/>
  <c r="K15" i="2"/>
  <c r="K2" i="2"/>
  <c r="G3" i="2"/>
  <c r="G4" i="2"/>
  <c r="G5" i="2"/>
  <c r="G6" i="2"/>
  <c r="G11" i="2"/>
  <c r="G12" i="2"/>
  <c r="I14" i="2"/>
  <c r="I15" i="2"/>
  <c r="G2" i="2"/>
</calcChain>
</file>

<file path=xl/sharedStrings.xml><?xml version="1.0" encoding="utf-8"?>
<sst xmlns="http://schemas.openxmlformats.org/spreadsheetml/2006/main" count="755" uniqueCount="101">
  <si>
    <t>Sample Date</t>
  </si>
  <si>
    <t>Actual</t>
  </si>
  <si>
    <t>Pass/Fail?</t>
  </si>
  <si>
    <t>Batch Size (CY)</t>
  </si>
  <si>
    <t>A</t>
  </si>
  <si>
    <t>B</t>
  </si>
  <si>
    <t>Source of Sample</t>
  </si>
  <si>
    <t>Age (Days)</t>
  </si>
  <si>
    <t>Remark</t>
  </si>
  <si>
    <t>Report No.</t>
  </si>
  <si>
    <t>Sample</t>
  </si>
  <si>
    <t>Date tested</t>
  </si>
  <si>
    <t xml:space="preserve">Supplier </t>
  </si>
  <si>
    <t>Mix ID</t>
  </si>
  <si>
    <t>7 days breaks</t>
  </si>
  <si>
    <t xml:space="preserve">Status </t>
  </si>
  <si>
    <t>28 days breaks</t>
  </si>
  <si>
    <t xml:space="preserve">Poured </t>
  </si>
  <si>
    <t>Canceled</t>
  </si>
  <si>
    <t>Poured</t>
  </si>
  <si>
    <t xml:space="preserve">Central </t>
  </si>
  <si>
    <t>Folsom</t>
  </si>
  <si>
    <t>GRC</t>
  </si>
  <si>
    <t xml:space="preserve">Royal </t>
  </si>
  <si>
    <t>Cemex</t>
  </si>
  <si>
    <t>3EFE75Q1 </t>
  </si>
  <si>
    <t>Received QA test results? Yes or No</t>
  </si>
  <si>
    <t xml:space="preserve">Yes </t>
  </si>
  <si>
    <t xml:space="preserve">No </t>
  </si>
  <si>
    <t>Schedule pour date</t>
  </si>
  <si>
    <t>HES</t>
  </si>
  <si>
    <t>1st break (1day or 3days)</t>
  </si>
  <si>
    <t>56 days breaks</t>
  </si>
  <si>
    <t xml:space="preserve">Received concrete tags? </t>
  </si>
  <si>
    <t>24-HAY-00250</t>
  </si>
  <si>
    <t>Site Work - FAA-Line East of C7</t>
  </si>
  <si>
    <t>X7BCC5P1</t>
  </si>
  <si>
    <t>3EFE75Q1</t>
  </si>
  <si>
    <t>Design Age</t>
  </si>
  <si>
    <t>Design strength</t>
  </si>
  <si>
    <t>CLMS</t>
  </si>
  <si>
    <t>400FLO</t>
  </si>
  <si>
    <t>C</t>
  </si>
  <si>
    <t>Cubic Yard poured</t>
  </si>
  <si>
    <t>3E0EG9C1</t>
  </si>
  <si>
    <t>CENTRAL</t>
  </si>
  <si>
    <t>Central</t>
  </si>
  <si>
    <t>S18100EX</t>
  </si>
  <si>
    <t xml:space="preserve"> S18100EX</t>
  </si>
  <si>
    <t>571957S5</t>
  </si>
  <si>
    <t>Fail</t>
  </si>
  <si>
    <t>Fail to the design strength is 4000 psi @ 72hr</t>
  </si>
  <si>
    <t>4E5EC5E1</t>
  </si>
  <si>
    <t>x</t>
  </si>
  <si>
    <t>GRANITE ROCK</t>
  </si>
  <si>
    <t>Air Content
QA</t>
  </si>
  <si>
    <t>Air Content
QC</t>
  </si>
  <si>
    <t>Slump
QA</t>
  </si>
  <si>
    <t>Slump
QC</t>
  </si>
  <si>
    <t>Actual
QA</t>
  </si>
  <si>
    <t>Actual
QC</t>
  </si>
  <si>
    <t>QA Lab ID.</t>
  </si>
  <si>
    <t>Sample By</t>
  </si>
  <si>
    <t>QC Lab ID.</t>
  </si>
  <si>
    <t>PRECASTS IN THE LAY-DOWN YARD</t>
  </si>
  <si>
    <t>26-026193</t>
  </si>
  <si>
    <t>Truck Ticket</t>
  </si>
  <si>
    <t>Slump
Pass/Fail</t>
  </si>
  <si>
    <t>Air Content
Pass/Fail</t>
  </si>
  <si>
    <t xml:space="preserve"> QC - Ryan MacDonald</t>
  </si>
  <si>
    <t>520 S. AIRPORT BLVD BARD FOR WIND CONES,
TRANSFORMER HOUSING, SIGN BASES</t>
  </si>
  <si>
    <t>CONCRETE FORMS, TRANSFORMER HOUSING</t>
  </si>
  <si>
    <t>Spread
QA</t>
  </si>
  <si>
    <t>Spread
QC</t>
  </si>
  <si>
    <t xml:space="preserve">T65A4M4 </t>
  </si>
  <si>
    <t>Folsom RM</t>
  </si>
  <si>
    <t xml:space="preserve">MIX </t>
  </si>
  <si>
    <t xml:space="preserve">Manufacturer </t>
  </si>
  <si>
    <t xml:space="preserve">air content </t>
  </si>
  <si>
    <t>SUB 022</t>
  </si>
  <si>
    <t>Submittal #</t>
  </si>
  <si>
    <t xml:space="preserve">2019-001 </t>
  </si>
  <si>
    <t>Royal</t>
  </si>
  <si>
    <t xml:space="preserve">64R1 </t>
  </si>
  <si>
    <t>D</t>
  </si>
  <si>
    <t>PASS</t>
  </si>
  <si>
    <t>26-029281</t>
  </si>
  <si>
    <t>Graniterock</t>
  </si>
  <si>
    <t>PRECASTS IN THE LAY DOWN YARD</t>
  </si>
  <si>
    <t>26-038956</t>
  </si>
  <si>
    <t>26-032679</t>
  </si>
  <si>
    <t>FILLED HOLES FOR TAXIWAY H, ALL
CENTERLINE + 6 EDGE LIGHTS ON NS</t>
  </si>
  <si>
    <t>TAXIWAY H, FILLED HOLES FOR ALL HOLD BAR
LIGHTS, 3 TRANSFORMER HOUSINGS &amp; 4 EDGE
LIGHTS</t>
  </si>
  <si>
    <t>26-035379</t>
  </si>
  <si>
    <t>26-040817</t>
  </si>
  <si>
    <t>Conduit connecting lights ABCD on 1LW1 &amp; filled holes where TLC1-16-6A, TLC1-16-6B, TLC1-16-6C, TLC1-16-8, C14-1, and 1LH2 were demoed</t>
  </si>
  <si>
    <t>5kV duct bank 20 to 40 ft north of sectional D7</t>
  </si>
  <si>
    <t>26-041387</t>
  </si>
  <si>
    <t>26-042282</t>
  </si>
  <si>
    <t>26-042644</t>
  </si>
  <si>
    <t>1LW1 cans ABCD, 1LW2 cans ABC, conduit between 1LW3 ABC, and conduit between W4 cans 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</si>
</sst>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(* #,##0.00_);_(* \(#,##0.00\);_(* &quot;-&quot;??_);_(@_)"/>
    <numFmt numFmtId="164" formatCode="mm/dd/yy;@"/>
    <numFmt numFmtId="165" formatCode="0.0"/>
    <numFmt numFmtId="166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theme="0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88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wrapText="1"/>
    </xf>
    <xf numFmtId="43" fontId="1" fillId="0" borderId="0" xfId="1" applyFont="1" applyAlignment="1">
      <alignment horizontal="center" vertical="center"/>
    </xf>
    <xf numFmtId="0" fontId="5" fillId="0" borderId="3" xfId="0" applyFont="1" applyBorder="1" applyAlignment="1">
      <alignment horizontal="center"/>
    </xf>
    <xf numFmtId="166" fontId="5" fillId="0" borderId="3" xfId="1" applyNumberFormat="1" applyFont="1" applyFill="1" applyBorder="1" applyAlignment="1">
      <alignment horizontal="center"/>
    </xf>
    <xf numFmtId="166" fontId="5" fillId="0" borderId="3" xfId="1" applyNumberFormat="1" applyFont="1" applyFill="1" applyBorder="1" applyAlignment="1"/>
    <xf numFmtId="0" fontId="5" fillId="0" borderId="4" xfId="0" applyFont="1" applyBorder="1" applyAlignment="1">
      <alignment horizontal="center"/>
    </xf>
    <xf numFmtId="166" fontId="5" fillId="0" borderId="4" xfId="1" applyNumberFormat="1" applyFont="1" applyFill="1" applyBorder="1" applyAlignment="1"/>
    <xf numFmtId="0" fontId="5" fillId="0" borderId="4" xfId="0" applyFont="1" applyBorder="1"/>
    <xf numFmtId="0" fontId="5" fillId="0" borderId="2" xfId="0" applyFont="1" applyBorder="1" applyAlignment="1">
      <alignment horizontal="center"/>
    </xf>
    <xf numFmtId="166" fontId="5" fillId="0" borderId="2" xfId="1" applyNumberFormat="1" applyFont="1" applyFill="1" applyBorder="1" applyAlignment="1"/>
    <xf numFmtId="0" fontId="5" fillId="0" borderId="6" xfId="0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6" fontId="5" fillId="0" borderId="6" xfId="1" applyNumberFormat="1" applyFont="1" applyFill="1" applyBorder="1" applyAlignme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14" fontId="5" fillId="0" borderId="3" xfId="0" applyNumberFormat="1" applyFont="1" applyBorder="1" applyAlignment="1">
      <alignment horizontal="center"/>
    </xf>
    <xf numFmtId="14" fontId="5" fillId="0" borderId="4" xfId="0" applyNumberFormat="1" applyFont="1" applyBorder="1" applyAlignment="1">
      <alignment horizontal="center"/>
    </xf>
    <xf numFmtId="14" fontId="5" fillId="0" borderId="2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4" fontId="5" fillId="0" borderId="1" xfId="0" applyNumberFormat="1" applyFont="1" applyBorder="1" applyAlignment="1">
      <alignment horizontal="center"/>
    </xf>
    <xf numFmtId="166" fontId="5" fillId="0" borderId="1" xfId="1" applyNumberFormat="1" applyFont="1" applyFill="1" applyBorder="1" applyAlignment="1"/>
    <xf numFmtId="0" fontId="5" fillId="0" borderId="1" xfId="0" applyFont="1" applyBorder="1"/>
    <xf numFmtId="0" fontId="5" fillId="0" borderId="6" xfId="0" applyFont="1" applyBorder="1" applyAlignment="1">
      <alignment horizontal="center" vertical="center"/>
    </xf>
    <xf numFmtId="166" fontId="5" fillId="0" borderId="6" xfId="1" applyNumberFormat="1" applyFont="1" applyFill="1" applyBorder="1" applyAlignment="1">
      <alignment vertical="center"/>
    </xf>
    <xf numFmtId="0" fontId="5" fillId="0" borderId="6" xfId="0" applyFont="1" applyBorder="1" applyAlignment="1">
      <alignment vertical="center"/>
    </xf>
    <xf numFmtId="166" fontId="5" fillId="0" borderId="4" xfId="1" applyNumberFormat="1" applyFont="1" applyFill="1" applyBorder="1" applyAlignment="1">
      <alignment vertical="center"/>
    </xf>
    <xf numFmtId="166" fontId="8" fillId="3" borderId="11" xfId="1" applyNumberFormat="1" applyFont="1" applyFill="1" applyBorder="1" applyAlignment="1">
      <alignment horizontal="center" vertical="center"/>
    </xf>
    <xf numFmtId="14" fontId="7" fillId="0" borderId="0" xfId="0" applyNumberFormat="1" applyFont="1" applyAlignment="1">
      <alignment horizontal="center"/>
    </xf>
    <xf numFmtId="0" fontId="5" fillId="2" borderId="3" xfId="0" applyFont="1" applyFill="1" applyBorder="1" applyAlignment="1">
      <alignment horizontal="center"/>
    </xf>
    <xf numFmtId="14" fontId="5" fillId="2" borderId="3" xfId="0" applyNumberFormat="1" applyFont="1" applyFill="1" applyBorder="1" applyAlignment="1">
      <alignment horizontal="center"/>
    </xf>
    <xf numFmtId="166" fontId="5" fillId="2" borderId="3" xfId="1" applyNumberFormat="1" applyFont="1" applyFill="1" applyBorder="1" applyAlignment="1"/>
    <xf numFmtId="0" fontId="5" fillId="2" borderId="3" xfId="0" applyFont="1" applyFill="1" applyBorder="1"/>
    <xf numFmtId="0" fontId="5" fillId="2" borderId="2" xfId="0" applyFont="1" applyFill="1" applyBorder="1" applyAlignment="1">
      <alignment horizontal="center"/>
    </xf>
    <xf numFmtId="14" fontId="5" fillId="2" borderId="2" xfId="0" applyNumberFormat="1" applyFont="1" applyFill="1" applyBorder="1" applyAlignment="1">
      <alignment horizontal="center"/>
    </xf>
    <xf numFmtId="166" fontId="5" fillId="2" borderId="2" xfId="1" applyNumberFormat="1" applyFont="1" applyFill="1" applyBorder="1" applyAlignment="1"/>
    <xf numFmtId="0" fontId="5" fillId="2" borderId="2" xfId="0" applyFont="1" applyFill="1" applyBorder="1"/>
    <xf numFmtId="0" fontId="5" fillId="2" borderId="6" xfId="0" applyFont="1" applyFill="1" applyBorder="1" applyAlignment="1">
      <alignment horizontal="center"/>
    </xf>
    <xf numFmtId="14" fontId="5" fillId="2" borderId="6" xfId="0" applyNumberFormat="1" applyFont="1" applyFill="1" applyBorder="1" applyAlignment="1">
      <alignment horizontal="center"/>
    </xf>
    <xf numFmtId="166" fontId="5" fillId="2" borderId="6" xfId="1" applyNumberFormat="1" applyFont="1" applyFill="1" applyBorder="1" applyAlignment="1">
      <alignment horizontal="center"/>
    </xf>
    <xf numFmtId="166" fontId="5" fillId="2" borderId="6" xfId="1" applyNumberFormat="1" applyFont="1" applyFill="1" applyBorder="1" applyAlignment="1"/>
    <xf numFmtId="0" fontId="5" fillId="2" borderId="6" xfId="0" applyFont="1" applyFill="1" applyBorder="1"/>
    <xf numFmtId="0" fontId="5" fillId="2" borderId="4" xfId="0" applyFont="1" applyFill="1" applyBorder="1" applyAlignment="1">
      <alignment horizontal="center"/>
    </xf>
    <xf numFmtId="14" fontId="5" fillId="2" borderId="4" xfId="0" applyNumberFormat="1" applyFont="1" applyFill="1" applyBorder="1" applyAlignment="1">
      <alignment horizontal="center"/>
    </xf>
    <xf numFmtId="166" fontId="5" fillId="2" borderId="4" xfId="1" applyNumberFormat="1" applyFont="1" applyFill="1" applyBorder="1" applyAlignment="1">
      <alignment horizontal="center"/>
    </xf>
    <xf numFmtId="166" fontId="5" fillId="2" borderId="4" xfId="1" applyNumberFormat="1" applyFont="1" applyFill="1" applyBorder="1" applyAlignment="1"/>
    <xf numFmtId="0" fontId="5" fillId="2" borderId="4" xfId="0" applyFont="1" applyFill="1" applyBorder="1"/>
    <xf numFmtId="14" fontId="0" fillId="0" borderId="0" xfId="0" applyNumberFormat="1"/>
    <xf numFmtId="164" fontId="5" fillId="2" borderId="6" xfId="0" applyNumberFormat="1" applyFont="1" applyFill="1" applyBorder="1" applyAlignment="1">
      <alignment horizontal="center"/>
    </xf>
    <xf numFmtId="14" fontId="5" fillId="0" borderId="6" xfId="0" applyNumberFormat="1" applyFont="1" applyBorder="1" applyAlignment="1">
      <alignment horizontal="center"/>
    </xf>
    <xf numFmtId="0" fontId="5" fillId="0" borderId="6" xfId="0" applyFont="1" applyBorder="1"/>
    <xf numFmtId="164" fontId="5" fillId="0" borderId="4" xfId="0" applyNumberFormat="1" applyFont="1" applyBorder="1" applyAlignment="1">
      <alignment horizontal="center"/>
    </xf>
    <xf numFmtId="0" fontId="5" fillId="0" borderId="6" xfId="0" applyFont="1" applyBorder="1" applyAlignment="1">
      <alignment vertical="center" wrapText="1"/>
    </xf>
    <xf numFmtId="0" fontId="5" fillId="2" borderId="7" xfId="0" applyFont="1" applyFill="1" applyBorder="1" applyAlignment="1">
      <alignment horizontal="center"/>
    </xf>
    <xf numFmtId="164" fontId="5" fillId="2" borderId="3" xfId="0" applyNumberFormat="1" applyFont="1" applyFill="1" applyBorder="1" applyAlignment="1">
      <alignment horizontal="center"/>
    </xf>
    <xf numFmtId="164" fontId="5" fillId="2" borderId="2" xfId="0" applyNumberFormat="1" applyFont="1" applyFill="1" applyBorder="1" applyAlignment="1">
      <alignment horizontal="center"/>
    </xf>
    <xf numFmtId="166" fontId="5" fillId="2" borderId="3" xfId="1" applyNumberFormat="1" applyFont="1" applyFill="1" applyBorder="1" applyAlignment="1">
      <alignment vertical="center"/>
    </xf>
    <xf numFmtId="0" fontId="5" fillId="2" borderId="3" xfId="0" applyFont="1" applyFill="1" applyBorder="1" applyAlignment="1">
      <alignment vertical="center"/>
    </xf>
    <xf numFmtId="166" fontId="5" fillId="2" borderId="2" xfId="1" applyNumberFormat="1" applyFont="1" applyFill="1" applyBorder="1" applyAlignment="1">
      <alignment vertical="center"/>
    </xf>
    <xf numFmtId="0" fontId="5" fillId="0" borderId="4" xfId="1" applyNumberFormat="1" applyFont="1" applyFill="1" applyBorder="1" applyAlignment="1">
      <alignment horizontal="center"/>
    </xf>
    <xf numFmtId="0" fontId="5" fillId="2" borderId="2" xfId="1" applyNumberFormat="1" applyFont="1" applyFill="1" applyBorder="1" applyAlignment="1">
      <alignment horizontal="center" vertical="center"/>
    </xf>
    <xf numFmtId="0" fontId="6" fillId="0" borderId="6" xfId="1" applyNumberFormat="1" applyFont="1" applyFill="1" applyBorder="1" applyAlignment="1">
      <alignment horizontal="center"/>
    </xf>
    <xf numFmtId="0" fontId="6" fillId="0" borderId="6" xfId="0" applyFont="1" applyBorder="1" applyAlignment="1">
      <alignment horizontal="center"/>
    </xf>
    <xf numFmtId="166" fontId="8" fillId="3" borderId="11" xfId="1" applyNumberFormat="1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 wrapText="1"/>
    </xf>
    <xf numFmtId="14" fontId="8" fillId="3" borderId="9" xfId="0" applyNumberFormat="1" applyFont="1" applyFill="1" applyBorder="1" applyAlignment="1">
      <alignment horizontal="center" vertical="center"/>
    </xf>
    <xf numFmtId="43" fontId="8" fillId="3" borderId="9" xfId="1" applyFont="1" applyFill="1" applyBorder="1" applyAlignment="1">
      <alignment horizontal="center" vertical="center" wrapText="1"/>
    </xf>
    <xf numFmtId="1" fontId="8" fillId="3" borderId="8" xfId="0" applyNumberFormat="1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/>
    </xf>
    <xf numFmtId="0" fontId="5" fillId="0" borderId="3" xfId="0" applyFont="1" applyBorder="1"/>
    <xf numFmtId="0" fontId="6" fillId="0" borderId="1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165" fontId="6" fillId="0" borderId="3" xfId="0" applyNumberFormat="1" applyFont="1" applyBorder="1" applyAlignment="1">
      <alignment horizontal="center"/>
    </xf>
    <xf numFmtId="165" fontId="6" fillId="2" borderId="3" xfId="0" applyNumberFormat="1" applyFont="1" applyFill="1" applyBorder="1" applyAlignment="1">
      <alignment horizontal="center"/>
    </xf>
    <xf numFmtId="165" fontId="6" fillId="0" borderId="4" xfId="0" applyNumberFormat="1" applyFont="1" applyBorder="1" applyAlignment="1">
      <alignment horizontal="center"/>
    </xf>
    <xf numFmtId="165" fontId="6" fillId="0" borderId="1" xfId="0" applyNumberFormat="1" applyFont="1" applyBorder="1" applyAlignment="1">
      <alignment horizontal="center"/>
    </xf>
    <xf numFmtId="165" fontId="6" fillId="2" borderId="6" xfId="0" applyNumberFormat="1" applyFont="1" applyFill="1" applyBorder="1" applyAlignment="1">
      <alignment horizontal="center"/>
    </xf>
    <xf numFmtId="164" fontId="5" fillId="2" borderId="4" xfId="0" applyNumberFormat="1" applyFont="1" applyFill="1" applyBorder="1" applyAlignment="1">
      <alignment horizontal="center"/>
    </xf>
    <xf numFmtId="165" fontId="6" fillId="2" borderId="4" xfId="0" applyNumberFormat="1" applyFont="1" applyFill="1" applyBorder="1" applyAlignment="1">
      <alignment horizontal="center"/>
    </xf>
    <xf numFmtId="14" fontId="5" fillId="2" borderId="1" xfId="0" applyNumberFormat="1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166" fontId="5" fillId="2" borderId="1" xfId="1" applyNumberFormat="1" applyFont="1" applyFill="1" applyBorder="1" applyAlignment="1"/>
    <xf numFmtId="0" fontId="5" fillId="2" borderId="1" xfId="0" applyFont="1" applyFill="1" applyBorder="1"/>
    <xf numFmtId="0" fontId="6" fillId="2" borderId="1" xfId="0" applyFont="1" applyFill="1" applyBorder="1" applyAlignment="1">
      <alignment horizontal="center"/>
    </xf>
    <xf numFmtId="166" fontId="5" fillId="0" borderId="2" xfId="1" applyNumberFormat="1" applyFont="1" applyFill="1" applyBorder="1" applyAlignment="1">
      <alignment horizontal="center"/>
    </xf>
    <xf numFmtId="0" fontId="5" fillId="0" borderId="2" xfId="0" applyFont="1" applyBorder="1"/>
    <xf numFmtId="0" fontId="1" fillId="0" borderId="0" xfId="0" applyFont="1" applyAlignment="1">
      <alignment horizontal="center" vertical="center"/>
    </xf>
    <xf numFmtId="14" fontId="0" fillId="4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14" fontId="7" fillId="4" borderId="0" xfId="0" applyNumberFormat="1" applyFont="1" applyFill="1" applyAlignment="1">
      <alignment horizontal="center"/>
    </xf>
    <xf numFmtId="14" fontId="0" fillId="4" borderId="0" xfId="0" applyNumberFormat="1" applyFill="1"/>
    <xf numFmtId="0" fontId="5" fillId="2" borderId="12" xfId="0" applyFont="1" applyFill="1" applyBorder="1" applyAlignment="1">
      <alignment horizontal="center"/>
    </xf>
    <xf numFmtId="0" fontId="5" fillId="2" borderId="12" xfId="0" applyFont="1" applyFill="1" applyBorder="1"/>
    <xf numFmtId="0" fontId="5" fillId="0" borderId="12" xfId="0" applyFont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5" fillId="5" borderId="2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166" fontId="5" fillId="5" borderId="4" xfId="1" applyNumberFormat="1" applyFont="1" applyFill="1" applyBorder="1" applyAlignment="1"/>
    <xf numFmtId="0" fontId="6" fillId="5" borderId="4" xfId="0" applyFont="1" applyFill="1" applyBorder="1" applyAlignment="1">
      <alignment horizontal="center"/>
    </xf>
    <xf numFmtId="14" fontId="5" fillId="0" borderId="12" xfId="0" applyNumberFormat="1" applyFont="1" applyBorder="1" applyAlignment="1">
      <alignment horizontal="center"/>
    </xf>
    <xf numFmtId="14" fontId="7" fillId="6" borderId="0" xfId="0" applyNumberFormat="1" applyFont="1" applyFill="1" applyAlignment="1">
      <alignment horizontal="center"/>
    </xf>
    <xf numFmtId="0" fontId="0" fillId="6" borderId="0" xfId="0" applyFill="1" applyAlignment="1">
      <alignment horizontal="center"/>
    </xf>
    <xf numFmtId="14" fontId="0" fillId="6" borderId="0" xfId="0" applyNumberFormat="1" applyFill="1" applyAlignment="1">
      <alignment horizontal="center"/>
    </xf>
    <xf numFmtId="0" fontId="0" fillId="6" borderId="0" xfId="0" applyFill="1"/>
    <xf numFmtId="14" fontId="0" fillId="6" borderId="0" xfId="0" applyNumberFormat="1" applyFill="1"/>
    <xf numFmtId="0" fontId="5" fillId="0" borderId="12" xfId="0" applyFont="1" applyBorder="1" applyAlignment="1">
      <alignment horizontal="center"/>
    </xf>
    <xf numFmtId="164" fontId="5" fillId="2" borderId="12" xfId="0" applyNumberFormat="1" applyFont="1" applyFill="1" applyBorder="1" applyAlignment="1">
      <alignment horizontal="center"/>
    </xf>
    <xf numFmtId="0" fontId="5" fillId="0" borderId="3" xfId="1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66" fontId="5" fillId="0" borderId="2" xfId="1" applyNumberFormat="1" applyFont="1" applyFill="1" applyBorder="1" applyAlignment="1">
      <alignment vertical="center"/>
    </xf>
    <xf numFmtId="0" fontId="5" fillId="0" borderId="2" xfId="0" applyFont="1" applyBorder="1" applyAlignment="1">
      <alignment vertical="center"/>
    </xf>
    <xf numFmtId="164" fontId="5" fillId="2" borderId="1" xfId="0" applyNumberFormat="1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5" fillId="0" borderId="2" xfId="1" applyNumberFormat="1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vertical="center"/>
    </xf>
    <xf numFmtId="0" fontId="5" fillId="0" borderId="3" xfId="0" applyFont="1" applyBorder="1" applyAlignment="1">
      <alignment horizontal="center" vertical="center"/>
    </xf>
    <xf numFmtId="166" fontId="5" fillId="0" borderId="3" xfId="1" applyNumberFormat="1" applyFont="1" applyFill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1" applyNumberFormat="1" applyFont="1" applyFill="1" applyBorder="1" applyAlignment="1">
      <alignment horizontal="center" vertical="center"/>
    </xf>
    <xf numFmtId="166" fontId="5" fillId="0" borderId="1" xfId="1" applyNumberFormat="1" applyFont="1" applyFill="1" applyBorder="1" applyAlignment="1">
      <alignment vertical="center"/>
    </xf>
    <xf numFmtId="165" fontId="6" fillId="2" borderId="1" xfId="0" applyNumberFormat="1" applyFont="1" applyFill="1" applyBorder="1" applyAlignment="1">
      <alignment horizontal="center"/>
    </xf>
    <xf numFmtId="14" fontId="8" fillId="3" borderId="9" xfId="0" applyNumberFormat="1" applyFont="1" applyFill="1" applyBorder="1" applyAlignment="1">
      <alignment horizontal="center" vertical="center" wrapText="1"/>
    </xf>
    <xf numFmtId="166" fontId="5" fillId="2" borderId="6" xfId="1" applyNumberFormat="1" applyFont="1" applyFill="1" applyBorder="1" applyAlignment="1">
      <alignment vertical="center"/>
    </xf>
    <xf numFmtId="166" fontId="5" fillId="2" borderId="1" xfId="1" applyNumberFormat="1" applyFont="1" applyFill="1" applyBorder="1" applyAlignment="1">
      <alignment vertical="center"/>
    </xf>
    <xf numFmtId="166" fontId="5" fillId="2" borderId="4" xfId="1" applyNumberFormat="1" applyFont="1" applyFill="1" applyBorder="1" applyAlignment="1">
      <alignment vertical="center"/>
    </xf>
    <xf numFmtId="166" fontId="6" fillId="0" borderId="6" xfId="1" applyNumberFormat="1" applyFont="1" applyFill="1" applyBorder="1" applyAlignment="1">
      <alignment vertical="center"/>
    </xf>
    <xf numFmtId="0" fontId="8" fillId="3" borderId="11" xfId="0" applyFont="1" applyFill="1" applyBorder="1" applyAlignment="1">
      <alignment horizontal="center" vertical="center" wrapText="1"/>
    </xf>
    <xf numFmtId="165" fontId="6" fillId="0" borderId="2" xfId="0" applyNumberFormat="1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0" fontId="5" fillId="0" borderId="12" xfId="1" applyNumberFormat="1" applyFont="1" applyFill="1" applyBorder="1" applyAlignment="1">
      <alignment horizontal="center" vertical="center"/>
    </xf>
    <xf numFmtId="0" fontId="6" fillId="2" borderId="4" xfId="0" applyFont="1" applyFill="1" applyBorder="1" applyAlignment="1">
      <alignment vertical="center"/>
    </xf>
    <xf numFmtId="0" fontId="5" fillId="5" borderId="3" xfId="0" applyFont="1" applyFill="1" applyBorder="1" applyAlignment="1">
      <alignment horizontal="center"/>
    </xf>
    <xf numFmtId="0" fontId="5" fillId="5" borderId="3" xfId="0" applyFont="1" applyFill="1" applyBorder="1"/>
    <xf numFmtId="0" fontId="5" fillId="5" borderId="12" xfId="0" applyFont="1" applyFill="1" applyBorder="1" applyAlignment="1">
      <alignment horizontal="center"/>
    </xf>
    <xf numFmtId="0" fontId="5" fillId="5" borderId="12" xfId="0" applyFont="1" applyFill="1" applyBorder="1"/>
    <xf numFmtId="0" fontId="5" fillId="5" borderId="4" xfId="0" applyFont="1" applyFill="1" applyBorder="1"/>
    <xf numFmtId="0" fontId="6" fillId="0" borderId="12" xfId="1" applyNumberFormat="1" applyFont="1" applyFill="1" applyBorder="1" applyAlignment="1">
      <alignment horizontal="center"/>
    </xf>
    <xf numFmtId="166" fontId="5" fillId="0" borderId="12" xfId="1" applyNumberFormat="1" applyFont="1" applyFill="1" applyBorder="1" applyAlignment="1"/>
    <xf numFmtId="0" fontId="6" fillId="0" borderId="12" xfId="0" applyFont="1" applyBorder="1" applyAlignment="1">
      <alignment horizontal="center"/>
    </xf>
    <xf numFmtId="0" fontId="5" fillId="0" borderId="12" xfId="0" applyFont="1" applyBorder="1"/>
    <xf numFmtId="0" fontId="5" fillId="2" borderId="6" xfId="1" applyNumberFormat="1" applyFont="1" applyFill="1" applyBorder="1" applyAlignment="1">
      <alignment horizontal="center" vertical="center"/>
    </xf>
    <xf numFmtId="3" fontId="5" fillId="0" borderId="5" xfId="0" applyNumberFormat="1" applyFont="1" applyBorder="1"/>
    <xf numFmtId="3" fontId="5" fillId="0" borderId="1" xfId="0" applyNumberFormat="1" applyFont="1" applyBorder="1"/>
    <xf numFmtId="0" fontId="5" fillId="2" borderId="6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4" xfId="1" applyNumberFormat="1" applyFont="1" applyFill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/>
    </xf>
    <xf numFmtId="0" fontId="0" fillId="4" borderId="0" xfId="0" applyFill="1"/>
    <xf numFmtId="0" fontId="5" fillId="2" borderId="1" xfId="0" applyFont="1" applyFill="1" applyBorder="1" applyAlignment="1">
      <alignment vertical="center"/>
    </xf>
    <xf numFmtId="14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7" borderId="0" xfId="0" applyFill="1"/>
    <xf numFmtId="14" fontId="0" fillId="7" borderId="0" xfId="0" applyNumberFormat="1" applyFill="1"/>
    <xf numFmtId="165" fontId="6" fillId="2" borderId="2" xfId="0" applyNumberFormat="1" applyFont="1" applyFill="1" applyBorder="1" applyAlignment="1">
      <alignment horizontal="center"/>
    </xf>
    <xf numFmtId="166" fontId="5" fillId="2" borderId="1" xfId="1" applyNumberFormat="1" applyFont="1" applyFill="1" applyBorder="1" applyAlignment="1">
      <alignment horizontal="center"/>
    </xf>
    <xf numFmtId="164" fontId="5" fillId="0" borderId="6" xfId="0" applyNumberFormat="1" applyFont="1" applyBorder="1" applyAlignment="1">
      <alignment horizontal="center"/>
    </xf>
    <xf numFmtId="166" fontId="5" fillId="2" borderId="2" xfId="1" applyNumberFormat="1" applyFont="1" applyFill="1" applyBorder="1" applyAlignment="1">
      <alignment horizontal="center"/>
    </xf>
    <xf numFmtId="166" fontId="5" fillId="0" borderId="6" xfId="1" applyNumberFormat="1" applyFont="1" applyFill="1" applyBorder="1" applyAlignment="1">
      <alignment horizontal="center"/>
    </xf>
    <xf numFmtId="165" fontId="6" fillId="0" borderId="6" xfId="0" applyNumberFormat="1" applyFont="1" applyBorder="1" applyAlignment="1">
      <alignment horizontal="center"/>
    </xf>
    <xf numFmtId="166" fontId="5" fillId="0" borderId="1" xfId="1" applyNumberFormat="1" applyFont="1" applyFill="1" applyBorder="1" applyAlignment="1">
      <alignment horizontal="center"/>
    </xf>
    <xf numFmtId="0" fontId="5" fillId="2" borderId="1" xfId="1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6" fillId="2" borderId="3" xfId="0" applyFont="1" applyFill="1" applyBorder="1" applyAlignment="1">
      <alignment vertical="center"/>
    </xf>
    <xf numFmtId="166" fontId="5" fillId="2" borderId="3" xfId="1" applyNumberFormat="1" applyFont="1" applyFill="1" applyBorder="1" applyAlignment="1">
      <alignment horizontal="center"/>
    </xf>
    <xf numFmtId="166" fontId="5" fillId="0" borderId="4" xfId="1" applyNumberFormat="1" applyFont="1" applyFill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4" fontId="5" fillId="0" borderId="7" xfId="0" applyNumberFormat="1" applyFont="1" applyBorder="1" applyAlignment="1">
      <alignment horizontal="center"/>
    </xf>
    <xf numFmtId="164" fontId="8" fillId="3" borderId="9" xfId="0" applyNumberFormat="1" applyFont="1" applyFill="1" applyBorder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/>
    </xf>
    <xf numFmtId="164" fontId="8" fillId="3" borderId="9" xfId="0" applyNumberFormat="1" applyFont="1" applyFill="1" applyBorder="1" applyAlignment="1">
      <alignment horizontal="center" vertical="center"/>
    </xf>
    <xf numFmtId="164" fontId="5" fillId="5" borderId="1" xfId="0" applyNumberFormat="1" applyFont="1" applyFill="1" applyBorder="1" applyAlignment="1">
      <alignment horizontal="center"/>
    </xf>
    <xf numFmtId="0" fontId="5" fillId="2" borderId="16" xfId="0" applyFont="1" applyFill="1" applyBorder="1" applyAlignment="1">
      <alignment horizontal="center"/>
    </xf>
    <xf numFmtId="0" fontId="5" fillId="2" borderId="15" xfId="0" applyFont="1" applyFill="1" applyBorder="1" applyAlignment="1">
      <alignment horizontal="center"/>
    </xf>
    <xf numFmtId="0" fontId="5" fillId="2" borderId="17" xfId="0" applyFont="1" applyFill="1" applyBorder="1" applyAlignment="1">
      <alignment horizontal="center"/>
    </xf>
    <xf numFmtId="14" fontId="5" fillId="0" borderId="0" xfId="0" applyNumberFormat="1" applyFont="1" applyAlignment="1">
      <alignment horizontal="center"/>
    </xf>
    <xf numFmtId="0" fontId="8" fillId="3" borderId="18" xfId="0" applyFont="1" applyFill="1" applyBorder="1" applyAlignment="1">
      <alignment horizontal="center" vertical="center" wrapText="1"/>
    </xf>
    <xf numFmtId="165" fontId="1" fillId="0" borderId="0" xfId="0" applyNumberFormat="1" applyFont="1" applyAlignment="1">
      <alignment horizontal="center" vertical="center"/>
    </xf>
    <xf numFmtId="2" fontId="8" fillId="3" borderId="20" xfId="0" applyNumberFormat="1" applyFont="1" applyFill="1" applyBorder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/>
    </xf>
    <xf numFmtId="0" fontId="5" fillId="2" borderId="19" xfId="0" applyFont="1" applyFill="1" applyBorder="1" applyAlignment="1">
      <alignment horizontal="center"/>
    </xf>
    <xf numFmtId="166" fontId="5" fillId="5" borderId="1" xfId="1" applyNumberFormat="1" applyFont="1" applyFill="1" applyBorder="1" applyAlignment="1"/>
    <xf numFmtId="166" fontId="5" fillId="0" borderId="1" xfId="1" applyNumberFormat="1" applyFont="1" applyFill="1" applyBorder="1" applyAlignment="1">
      <alignment horizontal="center" vertical="center"/>
    </xf>
    <xf numFmtId="166" fontId="5" fillId="0" borderId="4" xfId="1" applyNumberFormat="1" applyFont="1" applyFill="1" applyBorder="1" applyAlignment="1">
      <alignment horizontal="center" vertical="center"/>
    </xf>
    <xf numFmtId="166" fontId="5" fillId="0" borderId="3" xfId="1" applyNumberFormat="1" applyFont="1" applyFill="1" applyBorder="1" applyAlignment="1">
      <alignment horizontal="center" vertical="center"/>
    </xf>
    <xf numFmtId="166" fontId="5" fillId="2" borderId="1" xfId="1" applyNumberFormat="1" applyFont="1" applyFill="1" applyBorder="1" applyAlignment="1">
      <alignment horizontal="center" vertical="center"/>
    </xf>
    <xf numFmtId="166" fontId="5" fillId="2" borderId="5" xfId="1" applyNumberFormat="1" applyFont="1" applyFill="1" applyBorder="1" applyAlignment="1">
      <alignment horizontal="center" vertical="center"/>
    </xf>
    <xf numFmtId="166" fontId="5" fillId="0" borderId="6" xfId="1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 vertical="center"/>
    </xf>
    <xf numFmtId="166" fontId="6" fillId="2" borderId="4" xfId="1" applyNumberFormat="1" applyFont="1" applyFill="1" applyBorder="1" applyAlignment="1">
      <alignment horizontal="center" vertical="center"/>
    </xf>
    <xf numFmtId="166" fontId="6" fillId="2" borderId="6" xfId="1" applyNumberFormat="1" applyFont="1" applyFill="1" applyBorder="1" applyAlignment="1">
      <alignment horizontal="center" vertical="center"/>
    </xf>
    <xf numFmtId="166" fontId="6" fillId="2" borderId="3" xfId="1" applyNumberFormat="1" applyFont="1" applyFill="1" applyBorder="1" applyAlignment="1">
      <alignment horizontal="center" vertical="center"/>
    </xf>
    <xf numFmtId="166" fontId="5" fillId="2" borderId="4" xfId="1" applyNumberFormat="1" applyFont="1" applyFill="1" applyBorder="1" applyAlignment="1">
      <alignment horizontal="center" vertical="center"/>
    </xf>
    <xf numFmtId="166" fontId="5" fillId="0" borderId="2" xfId="1" applyNumberFormat="1" applyFont="1" applyFill="1" applyBorder="1" applyAlignment="1">
      <alignment horizontal="center" vertical="center"/>
    </xf>
    <xf numFmtId="166" fontId="5" fillId="2" borderId="6" xfId="1" applyNumberFormat="1" applyFont="1" applyFill="1" applyBorder="1" applyAlignment="1">
      <alignment horizontal="center" vertical="center"/>
    </xf>
    <xf numFmtId="166" fontId="5" fillId="2" borderId="2" xfId="1" applyNumberFormat="1" applyFont="1" applyFill="1" applyBorder="1" applyAlignment="1">
      <alignment horizontal="center" vertical="center"/>
    </xf>
    <xf numFmtId="166" fontId="5" fillId="0" borderId="6" xfId="1" applyNumberFormat="1" applyFont="1" applyBorder="1" applyAlignment="1">
      <alignment horizontal="center" vertical="center"/>
    </xf>
    <xf numFmtId="166" fontId="5" fillId="0" borderId="1" xfId="1" applyNumberFormat="1" applyFont="1" applyBorder="1" applyAlignment="1">
      <alignment horizontal="center" vertical="center"/>
    </xf>
    <xf numFmtId="166" fontId="5" fillId="0" borderId="3" xfId="1" applyNumberFormat="1" applyFont="1" applyBorder="1" applyAlignment="1">
      <alignment horizontal="center" vertical="center"/>
    </xf>
    <xf numFmtId="166" fontId="5" fillId="0" borderId="4" xfId="1" applyNumberFormat="1" applyFont="1" applyBorder="1" applyAlignment="1">
      <alignment horizontal="center" vertical="center"/>
    </xf>
    <xf numFmtId="166" fontId="5" fillId="2" borderId="3" xfId="1" applyNumberFormat="1" applyFont="1" applyFill="1" applyBorder="1" applyAlignment="1">
      <alignment horizontal="center" vertical="center"/>
    </xf>
    <xf numFmtId="166" fontId="5" fillId="2" borderId="12" xfId="1" applyNumberFormat="1" applyFont="1" applyFill="1" applyBorder="1" applyAlignment="1">
      <alignment horizontal="center" vertical="center"/>
    </xf>
    <xf numFmtId="166" fontId="5" fillId="2" borderId="7" xfId="1" applyNumberFormat="1" applyFont="1" applyFill="1" applyBorder="1" applyAlignment="1">
      <alignment horizontal="center" vertical="center"/>
    </xf>
    <xf numFmtId="166" fontId="1" fillId="0" borderId="0" xfId="1" applyNumberFormat="1" applyFont="1" applyAlignment="1">
      <alignment horizontal="center" vertical="center"/>
    </xf>
    <xf numFmtId="0" fontId="9" fillId="0" borderId="0" xfId="0" applyFont="1" applyAlignment="1">
      <alignment horizontal="center"/>
    </xf>
    <xf numFmtId="164" fontId="5" fillId="5" borderId="12" xfId="0" applyNumberFormat="1" applyFont="1" applyFill="1" applyBorder="1" applyAlignment="1">
      <alignment horizontal="center" vertical="center"/>
    </xf>
    <xf numFmtId="164" fontId="5" fillId="5" borderId="5" xfId="0" applyNumberFormat="1" applyFont="1" applyFill="1" applyBorder="1" applyAlignment="1">
      <alignment horizontal="center" vertical="center"/>
    </xf>
    <xf numFmtId="0" fontId="5" fillId="5" borderId="12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1" fontId="5" fillId="5" borderId="12" xfId="0" applyNumberFormat="1" applyFont="1" applyFill="1" applyBorder="1" applyAlignment="1">
      <alignment horizontal="center" vertical="center" wrapText="1"/>
    </xf>
    <xf numFmtId="0" fontId="5" fillId="5" borderId="12" xfId="1" applyNumberFormat="1" applyFont="1" applyFill="1" applyBorder="1" applyAlignment="1">
      <alignment horizontal="center" vertical="center"/>
    </xf>
    <xf numFmtId="0" fontId="5" fillId="5" borderId="5" xfId="1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1" applyNumberFormat="1" applyFont="1" applyFill="1" applyBorder="1" applyAlignment="1">
      <alignment horizontal="center" vertical="center"/>
    </xf>
    <xf numFmtId="0" fontId="5" fillId="5" borderId="19" xfId="0" applyFont="1" applyFill="1" applyBorder="1" applyAlignment="1">
      <alignment horizontal="center"/>
    </xf>
    <xf numFmtId="0" fontId="6" fillId="5" borderId="3" xfId="0" applyFont="1" applyFill="1" applyBorder="1" applyAlignment="1">
      <alignment vertical="center"/>
    </xf>
    <xf numFmtId="0" fontId="6" fillId="5" borderId="12" xfId="0" applyFont="1" applyFill="1" applyBorder="1" applyAlignment="1">
      <alignment horizontal="center" vertical="center"/>
    </xf>
    <xf numFmtId="0" fontId="5" fillId="5" borderId="15" xfId="0" applyFont="1" applyFill="1" applyBorder="1" applyAlignment="1">
      <alignment horizontal="center"/>
    </xf>
    <xf numFmtId="0" fontId="6" fillId="5" borderId="12" xfId="0" applyFont="1" applyFill="1" applyBorder="1" applyAlignment="1">
      <alignment vertical="center"/>
    </xf>
    <xf numFmtId="0" fontId="6" fillId="5" borderId="4" xfId="0" applyFont="1" applyFill="1" applyBorder="1" applyAlignment="1">
      <alignment horizontal="center" vertical="center"/>
    </xf>
    <xf numFmtId="164" fontId="5" fillId="5" borderId="4" xfId="0" applyNumberFormat="1" applyFont="1" applyFill="1" applyBorder="1" applyAlignment="1">
      <alignment horizontal="center"/>
    </xf>
    <xf numFmtId="0" fontId="5" fillId="5" borderId="17" xfId="0" applyFont="1" applyFill="1" applyBorder="1" applyAlignment="1">
      <alignment horizontal="center"/>
    </xf>
    <xf numFmtId="0" fontId="6" fillId="5" borderId="4" xfId="0" applyFont="1" applyFill="1" applyBorder="1" applyAlignment="1">
      <alignment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5" borderId="16" xfId="0" applyFont="1" applyFill="1" applyBorder="1" applyAlignment="1">
      <alignment horizontal="center"/>
    </xf>
    <xf numFmtId="0" fontId="5" fillId="5" borderId="2" xfId="0" applyFont="1" applyFill="1" applyBorder="1"/>
    <xf numFmtId="0" fontId="6" fillId="5" borderId="1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/>
    </xf>
    <xf numFmtId="0" fontId="5" fillId="5" borderId="1" xfId="0" applyFont="1" applyFill="1" applyBorder="1"/>
    <xf numFmtId="0" fontId="6" fillId="5" borderId="6" xfId="1" applyNumberFormat="1" applyFont="1" applyFill="1" applyBorder="1" applyAlignment="1">
      <alignment horizontal="center" vertical="center"/>
    </xf>
    <xf numFmtId="0" fontId="5" fillId="5" borderId="3" xfId="0" applyFont="1" applyFill="1" applyBorder="1" applyAlignment="1">
      <alignment vertical="center"/>
    </xf>
    <xf numFmtId="0" fontId="5" fillId="5" borderId="2" xfId="1" applyNumberFormat="1" applyFont="1" applyFill="1" applyBorder="1" applyAlignment="1">
      <alignment horizontal="center" vertical="center"/>
    </xf>
    <xf numFmtId="0" fontId="5" fillId="5" borderId="12" xfId="0" applyFont="1" applyFill="1" applyBorder="1" applyAlignment="1">
      <alignment vertical="center"/>
    </xf>
    <xf numFmtId="0" fontId="5" fillId="5" borderId="4" xfId="1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center"/>
    </xf>
    <xf numFmtId="0" fontId="5" fillId="5" borderId="6" xfId="0" applyFont="1" applyFill="1" applyBorder="1"/>
    <xf numFmtId="0" fontId="5" fillId="2" borderId="2" xfId="0" applyFont="1" applyFill="1" applyBorder="1" applyAlignment="1">
      <alignment vertical="center"/>
    </xf>
    <xf numFmtId="0" fontId="5" fillId="5" borderId="6" xfId="1" applyNumberFormat="1" applyFont="1" applyFill="1" applyBorder="1" applyAlignment="1">
      <alignment horizontal="center" vertical="center"/>
    </xf>
    <xf numFmtId="0" fontId="5" fillId="5" borderId="6" xfId="0" applyFont="1" applyFill="1" applyBorder="1" applyAlignment="1">
      <alignment vertical="center"/>
    </xf>
    <xf numFmtId="0" fontId="5" fillId="5" borderId="1" xfId="1" applyNumberFormat="1" applyFont="1" applyFill="1" applyBorder="1" applyAlignment="1">
      <alignment horizontal="center" vertical="center"/>
    </xf>
    <xf numFmtId="0" fontId="5" fillId="5" borderId="5" xfId="0" applyFont="1" applyFill="1" applyBorder="1" applyAlignment="1">
      <alignment vertical="center"/>
    </xf>
    <xf numFmtId="166" fontId="5" fillId="5" borderId="6" xfId="1" applyNumberFormat="1" applyFont="1" applyFill="1" applyBorder="1" applyAlignment="1"/>
    <xf numFmtId="0" fontId="5" fillId="5" borderId="13" xfId="0" applyFont="1" applyFill="1" applyBorder="1" applyAlignment="1">
      <alignment horizontal="center"/>
    </xf>
    <xf numFmtId="0" fontId="5" fillId="5" borderId="5" xfId="0" applyFont="1" applyFill="1" applyBorder="1"/>
    <xf numFmtId="0" fontId="5" fillId="5" borderId="15" xfId="0" applyFont="1" applyFill="1" applyBorder="1"/>
    <xf numFmtId="164" fontId="5" fillId="5" borderId="12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/>
    </xf>
    <xf numFmtId="0" fontId="5" fillId="5" borderId="5" xfId="0" applyFont="1" applyFill="1" applyBorder="1" applyAlignment="1">
      <alignment horizontal="center"/>
    </xf>
    <xf numFmtId="0" fontId="5" fillId="0" borderId="12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2" fontId="6" fillId="5" borderId="12" xfId="0" applyNumberFormat="1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1" fontId="5" fillId="5" borderId="7" xfId="0" applyNumberFormat="1" applyFont="1" applyFill="1" applyBorder="1" applyAlignment="1">
      <alignment horizontal="center" vertical="center" wrapText="1"/>
    </xf>
    <xf numFmtId="0" fontId="6" fillId="5" borderId="7" xfId="0" applyFont="1" applyFill="1" applyBorder="1" applyAlignment="1">
      <alignment horizontal="center" vertical="center" wrapText="1"/>
    </xf>
    <xf numFmtId="0" fontId="6" fillId="5" borderId="12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164" fontId="5" fillId="5" borderId="6" xfId="0" applyNumberFormat="1" applyFont="1" applyFill="1" applyBorder="1" applyAlignment="1">
      <alignment horizontal="center"/>
    </xf>
    <xf numFmtId="0" fontId="5" fillId="2" borderId="12" xfId="1" applyNumberFormat="1" applyFont="1" applyFill="1" applyBorder="1" applyAlignment="1">
      <alignment horizontal="center" vertical="center"/>
    </xf>
    <xf numFmtId="0" fontId="5" fillId="2" borderId="4" xfId="1" applyNumberFormat="1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6" fillId="2" borderId="12" xfId="1" applyNumberFormat="1" applyFont="1" applyFill="1" applyBorder="1" applyAlignment="1">
      <alignment horizontal="center" vertical="center"/>
    </xf>
    <xf numFmtId="3" fontId="5" fillId="2" borderId="0" xfId="0" applyNumberFormat="1" applyFont="1" applyFill="1" applyAlignment="1">
      <alignment horizontal="center" vertical="center"/>
    </xf>
    <xf numFmtId="3" fontId="5" fillId="2" borderId="1" xfId="0" applyNumberFormat="1" applyFont="1" applyFill="1" applyBorder="1" applyAlignment="1">
      <alignment horizontal="center" vertical="center"/>
    </xf>
    <xf numFmtId="166" fontId="5" fillId="0" borderId="12" xfId="1" applyNumberFormat="1" applyFont="1" applyFill="1" applyBorder="1" applyAlignment="1">
      <alignment horizontal="center" vertical="center"/>
    </xf>
    <xf numFmtId="3" fontId="5" fillId="2" borderId="7" xfId="0" applyNumberFormat="1" applyFont="1" applyFill="1" applyBorder="1" applyAlignment="1">
      <alignment horizontal="center" vertical="center"/>
    </xf>
    <xf numFmtId="3" fontId="5" fillId="2" borderId="12" xfId="0" applyNumberFormat="1" applyFont="1" applyFill="1" applyBorder="1" applyAlignment="1">
      <alignment horizontal="center" vertical="center"/>
    </xf>
    <xf numFmtId="166" fontId="6" fillId="2" borderId="2" xfId="1" applyNumberFormat="1" applyFont="1" applyFill="1" applyBorder="1" applyAlignment="1">
      <alignment horizontal="center" vertical="center"/>
    </xf>
    <xf numFmtId="3" fontId="5" fillId="5" borderId="12" xfId="0" applyNumberFormat="1" applyFont="1" applyFill="1" applyBorder="1" applyAlignment="1">
      <alignment horizontal="center" vertical="center"/>
    </xf>
    <xf numFmtId="166" fontId="6" fillId="5" borderId="3" xfId="1" applyNumberFormat="1" applyFont="1" applyFill="1" applyBorder="1" applyAlignment="1">
      <alignment horizontal="center" vertical="center"/>
    </xf>
    <xf numFmtId="166" fontId="6" fillId="5" borderId="1" xfId="1" applyNumberFormat="1" applyFont="1" applyFill="1" applyBorder="1" applyAlignment="1">
      <alignment horizontal="center" vertical="center"/>
    </xf>
    <xf numFmtId="166" fontId="6" fillId="5" borderId="2" xfId="1" applyNumberFormat="1" applyFont="1" applyFill="1" applyBorder="1" applyAlignment="1">
      <alignment horizontal="center" vertical="center"/>
    </xf>
    <xf numFmtId="166" fontId="6" fillId="5" borderId="4" xfId="1" applyNumberFormat="1" applyFont="1" applyFill="1" applyBorder="1" applyAlignment="1">
      <alignment horizontal="center" vertical="center"/>
    </xf>
    <xf numFmtId="166" fontId="5" fillId="5" borderId="3" xfId="1" applyNumberFormat="1" applyFont="1" applyFill="1" applyBorder="1" applyAlignment="1">
      <alignment horizontal="center" vertical="center"/>
    </xf>
    <xf numFmtId="166" fontId="5" fillId="5" borderId="12" xfId="1" applyNumberFormat="1" applyFont="1" applyFill="1" applyBorder="1" applyAlignment="1">
      <alignment horizontal="center" vertical="center"/>
    </xf>
    <xf numFmtId="166" fontId="5" fillId="5" borderId="2" xfId="1" applyNumberFormat="1" applyFont="1" applyFill="1" applyBorder="1" applyAlignment="1">
      <alignment horizontal="center" vertical="center"/>
    </xf>
    <xf numFmtId="166" fontId="5" fillId="5" borderId="1" xfId="1" applyNumberFormat="1" applyFont="1" applyFill="1" applyBorder="1" applyAlignment="1">
      <alignment horizontal="center" vertical="center"/>
    </xf>
    <xf numFmtId="3" fontId="6" fillId="2" borderId="6" xfId="0" applyNumberFormat="1" applyFont="1" applyFill="1" applyBorder="1" applyAlignment="1">
      <alignment horizontal="center" vertical="center"/>
    </xf>
    <xf numFmtId="3" fontId="6" fillId="2" borderId="12" xfId="0" applyNumberFormat="1" applyFont="1" applyFill="1" applyBorder="1" applyAlignment="1">
      <alignment horizontal="center" vertical="center"/>
    </xf>
    <xf numFmtId="3" fontId="5" fillId="2" borderId="4" xfId="0" applyNumberFormat="1" applyFont="1" applyFill="1" applyBorder="1" applyAlignment="1">
      <alignment horizontal="center" vertical="center"/>
    </xf>
    <xf numFmtId="166" fontId="6" fillId="5" borderId="6" xfId="1" applyNumberFormat="1" applyFont="1" applyFill="1" applyBorder="1" applyAlignment="1">
      <alignment horizontal="center" vertical="center"/>
    </xf>
    <xf numFmtId="166" fontId="5" fillId="5" borderId="4" xfId="1" applyNumberFormat="1" applyFont="1" applyFill="1" applyBorder="1" applyAlignment="1">
      <alignment horizontal="center" vertical="center"/>
    </xf>
    <xf numFmtId="166" fontId="6" fillId="5" borderId="5" xfId="1" applyNumberFormat="1" applyFont="1" applyFill="1" applyBorder="1" applyAlignment="1">
      <alignment horizontal="center" vertical="center"/>
    </xf>
    <xf numFmtId="166" fontId="5" fillId="5" borderId="7" xfId="1" applyNumberFormat="1" applyFont="1" applyFill="1" applyBorder="1" applyAlignment="1">
      <alignment horizontal="center" vertical="center"/>
    </xf>
    <xf numFmtId="166" fontId="5" fillId="5" borderId="5" xfId="1" applyNumberFormat="1" applyFont="1" applyFill="1" applyBorder="1" applyAlignment="1">
      <alignment horizontal="center" vertical="center"/>
    </xf>
    <xf numFmtId="166" fontId="5" fillId="5" borderId="6" xfId="1" applyNumberFormat="1" applyFont="1" applyFill="1" applyBorder="1" applyAlignment="1">
      <alignment horizontal="center" vertical="center"/>
    </xf>
    <xf numFmtId="166" fontId="5" fillId="0" borderId="7" xfId="1" applyNumberFormat="1" applyFont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0" borderId="6" xfId="1" applyNumberFormat="1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12" xfId="0" applyFont="1" applyFill="1" applyBorder="1" applyAlignment="1">
      <alignment horizontal="center" vertical="center"/>
    </xf>
    <xf numFmtId="0" fontId="6" fillId="2" borderId="6" xfId="1" applyNumberFormat="1" applyFont="1" applyFill="1" applyBorder="1" applyAlignment="1">
      <alignment horizontal="center" vertical="center"/>
    </xf>
    <xf numFmtId="3" fontId="5" fillId="2" borderId="5" xfId="0" applyNumberFormat="1" applyFont="1" applyFill="1" applyBorder="1" applyAlignment="1">
      <alignment horizontal="center" vertical="center"/>
    </xf>
    <xf numFmtId="0" fontId="5" fillId="5" borderId="3" xfId="1" applyNumberFormat="1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166" fontId="5" fillId="5" borderId="14" xfId="1" applyNumberFormat="1" applyFont="1" applyFill="1" applyBorder="1" applyAlignment="1">
      <alignment horizontal="center" vertical="center"/>
    </xf>
    <xf numFmtId="166" fontId="5" fillId="2" borderId="14" xfId="1" applyNumberFormat="1" applyFont="1" applyFill="1" applyBorder="1" applyAlignment="1">
      <alignment horizontal="center" vertical="center"/>
    </xf>
    <xf numFmtId="166" fontId="9" fillId="2" borderId="1" xfId="1" applyNumberFormat="1" applyFont="1" applyFill="1" applyBorder="1" applyAlignment="1">
      <alignment horizontal="center" vertical="center"/>
    </xf>
    <xf numFmtId="164" fontId="5" fillId="5" borderId="3" xfId="0" applyNumberFormat="1" applyFont="1" applyFill="1" applyBorder="1" applyAlignment="1">
      <alignment horizontal="center"/>
    </xf>
    <xf numFmtId="3" fontId="5" fillId="5" borderId="0" xfId="0" applyNumberFormat="1" applyFont="1" applyFill="1" applyAlignment="1">
      <alignment horizontal="center" vertical="center"/>
    </xf>
    <xf numFmtId="0" fontId="6" fillId="5" borderId="3" xfId="0" applyFont="1" applyFill="1" applyBorder="1" applyAlignment="1">
      <alignment horizontal="center"/>
    </xf>
    <xf numFmtId="3" fontId="5" fillId="5" borderId="1" xfId="0" applyNumberFormat="1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vertical="center"/>
    </xf>
    <xf numFmtId="0" fontId="5" fillId="5" borderId="6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3" fontId="5" fillId="5" borderId="7" xfId="0" applyNumberFormat="1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/>
    </xf>
    <xf numFmtId="2" fontId="6" fillId="2" borderId="7" xfId="0" applyNumberFormat="1" applyFont="1" applyFill="1" applyBorder="1" applyAlignment="1">
      <alignment horizontal="center" vertical="center"/>
    </xf>
    <xf numFmtId="2" fontId="6" fillId="2" borderId="12" xfId="0" applyNumberFormat="1" applyFont="1" applyFill="1" applyBorder="1" applyAlignment="1">
      <alignment horizontal="center" vertical="center"/>
    </xf>
    <xf numFmtId="2" fontId="6" fillId="2" borderId="5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2" fontId="5" fillId="5" borderId="7" xfId="0" applyNumberFormat="1" applyFont="1" applyFill="1" applyBorder="1" applyAlignment="1">
      <alignment horizontal="center" vertical="center"/>
    </xf>
    <xf numFmtId="2" fontId="5" fillId="5" borderId="12" xfId="0" applyNumberFormat="1" applyFont="1" applyFill="1" applyBorder="1" applyAlignment="1">
      <alignment horizontal="center" vertical="center"/>
    </xf>
    <xf numFmtId="2" fontId="5" fillId="5" borderId="5" xfId="0" applyNumberFormat="1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12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2" fontId="6" fillId="5" borderId="7" xfId="0" applyNumberFormat="1" applyFont="1" applyFill="1" applyBorder="1" applyAlignment="1">
      <alignment horizontal="center" vertical="center"/>
    </xf>
    <xf numFmtId="2" fontId="6" fillId="5" borderId="12" xfId="0" applyNumberFormat="1" applyFont="1" applyFill="1" applyBorder="1" applyAlignment="1">
      <alignment horizontal="center" vertical="center"/>
    </xf>
    <xf numFmtId="2" fontId="6" fillId="5" borderId="5" xfId="0" applyNumberFormat="1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 wrapText="1"/>
    </xf>
    <xf numFmtId="0" fontId="5" fillId="5" borderId="12" xfId="0" applyFont="1" applyFill="1" applyBorder="1" applyAlignment="1">
      <alignment horizontal="center" vertical="center" wrapText="1"/>
    </xf>
    <xf numFmtId="0" fontId="5" fillId="5" borderId="7" xfId="1" applyNumberFormat="1" applyFont="1" applyFill="1" applyBorder="1" applyAlignment="1">
      <alignment horizontal="center" vertical="center"/>
    </xf>
    <xf numFmtId="0" fontId="5" fillId="5" borderId="12" xfId="1" applyNumberFormat="1" applyFont="1" applyFill="1" applyBorder="1" applyAlignment="1">
      <alignment horizontal="center" vertical="center"/>
    </xf>
    <xf numFmtId="2" fontId="6" fillId="0" borderId="12" xfId="0" applyNumberFormat="1" applyFont="1" applyBorder="1" applyAlignment="1">
      <alignment horizontal="center" vertical="center"/>
    </xf>
    <xf numFmtId="2" fontId="6" fillId="0" borderId="5" xfId="0" applyNumberFormat="1" applyFont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164" fontId="5" fillId="0" borderId="12" xfId="0" applyNumberFormat="1" applyFont="1" applyBorder="1" applyAlignment="1">
      <alignment horizontal="center" vertical="center"/>
    </xf>
    <xf numFmtId="164" fontId="5" fillId="0" borderId="5" xfId="0" applyNumberFormat="1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164" fontId="5" fillId="2" borderId="7" xfId="0" applyNumberFormat="1" applyFont="1" applyFill="1" applyBorder="1" applyAlignment="1">
      <alignment horizontal="center" vertical="center"/>
    </xf>
    <xf numFmtId="164" fontId="5" fillId="2" borderId="12" xfId="0" applyNumberFormat="1" applyFont="1" applyFill="1" applyBorder="1" applyAlignment="1">
      <alignment horizontal="center" vertical="center"/>
    </xf>
    <xf numFmtId="164" fontId="5" fillId="2" borderId="5" xfId="0" applyNumberFormat="1" applyFont="1" applyFill="1" applyBorder="1" applyAlignment="1">
      <alignment horizontal="center" vertical="center"/>
    </xf>
    <xf numFmtId="0" fontId="5" fillId="2" borderId="7" xfId="1" applyNumberFormat="1" applyFont="1" applyFill="1" applyBorder="1" applyAlignment="1">
      <alignment horizontal="center" vertical="center"/>
    </xf>
    <xf numFmtId="0" fontId="5" fillId="2" borderId="12" xfId="1" applyNumberFormat="1" applyFont="1" applyFill="1" applyBorder="1" applyAlignment="1">
      <alignment horizontal="center" vertical="center"/>
    </xf>
    <xf numFmtId="0" fontId="5" fillId="2" borderId="5" xfId="1" applyNumberFormat="1" applyFont="1" applyFill="1" applyBorder="1" applyAlignment="1">
      <alignment horizontal="center" vertical="center"/>
    </xf>
    <xf numFmtId="164" fontId="5" fillId="0" borderId="7" xfId="0" applyNumberFormat="1" applyFont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 wrapText="1"/>
    </xf>
    <xf numFmtId="0" fontId="1" fillId="0" borderId="21" xfId="0" applyFont="1" applyBorder="1" applyAlignment="1">
      <alignment horizontal="center"/>
    </xf>
    <xf numFmtId="2" fontId="5" fillId="2" borderId="7" xfId="0" applyNumberFormat="1" applyFont="1" applyFill="1" applyBorder="1" applyAlignment="1">
      <alignment horizontal="center" vertical="center"/>
    </xf>
    <xf numFmtId="2" fontId="5" fillId="2" borderId="12" xfId="0" applyNumberFormat="1" applyFont="1" applyFill="1" applyBorder="1" applyAlignment="1">
      <alignment horizontal="center" vertical="center"/>
    </xf>
    <xf numFmtId="2" fontId="5" fillId="2" borderId="5" xfId="0" applyNumberFormat="1" applyFont="1" applyFill="1" applyBorder="1" applyAlignment="1">
      <alignment horizontal="center" vertical="center"/>
    </xf>
    <xf numFmtId="165" fontId="6" fillId="2" borderId="12" xfId="0" applyNumberFormat="1" applyFont="1" applyFill="1" applyBorder="1" applyAlignment="1">
      <alignment horizontal="center" vertical="center"/>
    </xf>
    <xf numFmtId="2" fontId="6" fillId="2" borderId="2" xfId="0" applyNumberFormat="1" applyFont="1" applyFill="1" applyBorder="1" applyAlignment="1">
      <alignment horizontal="center" vertical="center"/>
    </xf>
    <xf numFmtId="1" fontId="10" fillId="0" borderId="0" xfId="0" applyNumberFormat="1" applyFont="1" applyAlignment="1">
      <alignment horizontal="center" vertical="center" wrapText="1"/>
    </xf>
    <xf numFmtId="2" fontId="9" fillId="2" borderId="7" xfId="0" applyNumberFormat="1" applyFont="1" applyFill="1" applyBorder="1" applyAlignment="1">
      <alignment horizontal="center" vertical="center"/>
    </xf>
    <xf numFmtId="2" fontId="9" fillId="2" borderId="12" xfId="0" applyNumberFormat="1" applyFont="1" applyFill="1" applyBorder="1" applyAlignment="1">
      <alignment horizontal="center" vertical="center"/>
    </xf>
    <xf numFmtId="2" fontId="9" fillId="2" borderId="5" xfId="0" applyNumberFormat="1" applyFont="1" applyFill="1" applyBorder="1" applyAlignment="1">
      <alignment horizontal="center" vertical="center"/>
    </xf>
    <xf numFmtId="2" fontId="9" fillId="5" borderId="7" xfId="0" applyNumberFormat="1" applyFont="1" applyFill="1" applyBorder="1" applyAlignment="1">
      <alignment horizontal="center" vertical="center"/>
    </xf>
    <xf numFmtId="2" fontId="9" fillId="5" borderId="12" xfId="0" applyNumberFormat="1" applyFont="1" applyFill="1" applyBorder="1" applyAlignment="1">
      <alignment horizontal="center" vertical="center"/>
    </xf>
    <xf numFmtId="2" fontId="9" fillId="5" borderId="5" xfId="0" applyNumberFormat="1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2" fontId="6" fillId="0" borderId="2" xfId="0" applyNumberFormat="1" applyFont="1" applyBorder="1" applyAlignment="1">
      <alignment horizontal="center" vertical="center"/>
    </xf>
    <xf numFmtId="2" fontId="6" fillId="5" borderId="2" xfId="0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5" fillId="5" borderId="5" xfId="1" applyNumberFormat="1" applyFont="1" applyFill="1" applyBorder="1" applyAlignment="1">
      <alignment horizontal="center" vertical="center"/>
    </xf>
    <xf numFmtId="164" fontId="5" fillId="5" borderId="7" xfId="0" applyNumberFormat="1" applyFont="1" applyFill="1" applyBorder="1" applyAlignment="1">
      <alignment horizontal="center" vertical="center"/>
    </xf>
    <xf numFmtId="164" fontId="5" fillId="5" borderId="12" xfId="0" applyNumberFormat="1" applyFont="1" applyFill="1" applyBorder="1" applyAlignment="1">
      <alignment horizontal="center" vertical="center"/>
    </xf>
    <xf numFmtId="164" fontId="5" fillId="5" borderId="5" xfId="0" applyNumberFormat="1" applyFont="1" applyFill="1" applyBorder="1" applyAlignment="1">
      <alignment horizontal="center" vertical="center"/>
    </xf>
    <xf numFmtId="0" fontId="5" fillId="2" borderId="7" xfId="1" applyNumberFormat="1" applyFont="1" applyFill="1" applyBorder="1" applyAlignment="1">
      <alignment horizontal="center" vertical="center" wrapText="1"/>
    </xf>
    <xf numFmtId="0" fontId="5" fillId="2" borderId="12" xfId="1" applyNumberFormat="1" applyFont="1" applyFill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 vertical="center"/>
    </xf>
    <xf numFmtId="0" fontId="5" fillId="0" borderId="2" xfId="1" applyNumberFormat="1" applyFont="1" applyFill="1" applyBorder="1" applyAlignment="1">
      <alignment horizontal="center" vertical="center"/>
    </xf>
    <xf numFmtId="0" fontId="5" fillId="0" borderId="12" xfId="1" applyNumberFormat="1" applyFont="1" applyFill="1" applyBorder="1" applyAlignment="1">
      <alignment horizontal="center" vertical="center"/>
    </xf>
    <xf numFmtId="0" fontId="5" fillId="0" borderId="5" xfId="1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164" fontId="5" fillId="5" borderId="6" xfId="0" applyNumberFormat="1" applyFont="1" applyFill="1" applyBorder="1" applyAlignment="1">
      <alignment horizontal="center" vertical="center"/>
    </xf>
    <xf numFmtId="164" fontId="5" fillId="5" borderId="1" xfId="0" applyNumberFormat="1" applyFont="1" applyFill="1" applyBorder="1" applyAlignment="1">
      <alignment horizontal="center" vertical="center"/>
    </xf>
    <xf numFmtId="164" fontId="5" fillId="5" borderId="4" xfId="0" applyNumberFormat="1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5" borderId="7" xfId="1" applyNumberFormat="1" applyFont="1" applyFill="1" applyBorder="1" applyAlignment="1">
      <alignment horizontal="center" vertical="center" wrapText="1"/>
    </xf>
    <xf numFmtId="0" fontId="5" fillId="5" borderId="1" xfId="1" applyNumberFormat="1" applyFont="1" applyFill="1" applyBorder="1" applyAlignment="1">
      <alignment horizontal="center" vertical="center"/>
    </xf>
    <xf numFmtId="0" fontId="5" fillId="5" borderId="4" xfId="1" applyNumberFormat="1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1" fontId="5" fillId="5" borderId="7" xfId="0" applyNumberFormat="1" applyFont="1" applyFill="1" applyBorder="1" applyAlignment="1">
      <alignment horizontal="center" vertical="center" wrapText="1"/>
    </xf>
    <xf numFmtId="1" fontId="5" fillId="5" borderId="12" xfId="0" applyNumberFormat="1" applyFont="1" applyFill="1" applyBorder="1" applyAlignment="1">
      <alignment horizontal="center" vertical="center" wrapText="1"/>
    </xf>
    <xf numFmtId="164" fontId="5" fillId="2" borderId="12" xfId="0" applyNumberFormat="1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6" xfId="1" applyNumberFormat="1" applyFont="1" applyFill="1" applyBorder="1" applyAlignment="1">
      <alignment horizontal="center" vertical="center"/>
    </xf>
    <xf numFmtId="0" fontId="5" fillId="2" borderId="4" xfId="1" applyNumberFormat="1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5" fillId="0" borderId="7" xfId="1" applyNumberFormat="1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164" fontId="5" fillId="0" borderId="6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164" fontId="5" fillId="0" borderId="4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/>
    </xf>
    <xf numFmtId="0" fontId="5" fillId="0" borderId="6" xfId="1" applyNumberFormat="1" applyFont="1" applyBorder="1" applyAlignment="1">
      <alignment horizontal="center" vertical="center"/>
    </xf>
    <xf numFmtId="0" fontId="5" fillId="0" borderId="12" xfId="1" applyNumberFormat="1" applyFont="1" applyBorder="1" applyAlignment="1">
      <alignment horizontal="center" vertical="center"/>
    </xf>
    <xf numFmtId="0" fontId="5" fillId="0" borderId="4" xfId="1" applyNumberFormat="1" applyFont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164" fontId="5" fillId="2" borderId="6" xfId="0" applyNumberFormat="1" applyFont="1" applyFill="1" applyBorder="1" applyAlignment="1">
      <alignment horizontal="center" vertical="center"/>
    </xf>
    <xf numFmtId="164" fontId="5" fillId="2" borderId="1" xfId="0" applyNumberFormat="1" applyFont="1" applyFill="1" applyBorder="1" applyAlignment="1">
      <alignment horizontal="center" vertical="center"/>
    </xf>
    <xf numFmtId="164" fontId="5" fillId="2" borderId="4" xfId="0" applyNumberFormat="1" applyFont="1" applyFill="1" applyBorder="1" applyAlignment="1">
      <alignment horizontal="center" vertical="center"/>
    </xf>
    <xf numFmtId="0" fontId="5" fillId="2" borderId="1" xfId="1" applyNumberFormat="1" applyFont="1" applyFill="1" applyBorder="1" applyAlignment="1">
      <alignment horizontal="center" vertical="center"/>
    </xf>
    <xf numFmtId="2" fontId="6" fillId="0" borderId="7" xfId="0" applyNumberFormat="1" applyFont="1" applyBorder="1" applyAlignment="1">
      <alignment horizontal="center" vertical="center"/>
    </xf>
    <xf numFmtId="164" fontId="6" fillId="2" borderId="7" xfId="0" applyNumberFormat="1" applyFont="1" applyFill="1" applyBorder="1" applyAlignment="1">
      <alignment horizontal="center" vertical="center"/>
    </xf>
    <xf numFmtId="164" fontId="6" fillId="2" borderId="12" xfId="0" applyNumberFormat="1" applyFont="1" applyFill="1" applyBorder="1" applyAlignment="1">
      <alignment horizontal="center" vertical="center"/>
    </xf>
    <xf numFmtId="164" fontId="6" fillId="2" borderId="5" xfId="0" applyNumberFormat="1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7" xfId="1" applyNumberFormat="1" applyFont="1" applyFill="1" applyBorder="1" applyAlignment="1">
      <alignment horizontal="center" vertical="center"/>
    </xf>
    <xf numFmtId="0" fontId="6" fillId="2" borderId="12" xfId="1" applyNumberFormat="1" applyFont="1" applyFill="1" applyBorder="1" applyAlignment="1">
      <alignment horizontal="center" vertical="center"/>
    </xf>
    <xf numFmtId="0" fontId="6" fillId="2" borderId="5" xfId="1" applyNumberFormat="1" applyFont="1" applyFill="1" applyBorder="1" applyAlignment="1">
      <alignment horizontal="center" vertical="center"/>
    </xf>
    <xf numFmtId="2" fontId="9" fillId="0" borderId="12" xfId="0" applyNumberFormat="1" applyFont="1" applyBorder="1" applyAlignment="1">
      <alignment horizontal="center" vertical="center"/>
    </xf>
    <xf numFmtId="2" fontId="9" fillId="0" borderId="5" xfId="0" applyNumberFormat="1" applyFont="1" applyBorder="1" applyAlignment="1">
      <alignment horizontal="center" vertical="center"/>
    </xf>
    <xf numFmtId="164" fontId="6" fillId="5" borderId="7" xfId="0" applyNumberFormat="1" applyFont="1" applyFill="1" applyBorder="1" applyAlignment="1">
      <alignment horizontal="center" vertical="center"/>
    </xf>
    <xf numFmtId="164" fontId="6" fillId="5" borderId="12" xfId="0" applyNumberFormat="1" applyFont="1" applyFill="1" applyBorder="1" applyAlignment="1">
      <alignment horizontal="center" vertical="center"/>
    </xf>
    <xf numFmtId="164" fontId="6" fillId="5" borderId="5" xfId="0" applyNumberFormat="1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 wrapText="1"/>
    </xf>
    <xf numFmtId="0" fontId="6" fillId="5" borderId="12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5" borderId="7" xfId="1" applyNumberFormat="1" applyFont="1" applyFill="1" applyBorder="1" applyAlignment="1">
      <alignment horizontal="center" vertical="center"/>
    </xf>
    <xf numFmtId="0" fontId="6" fillId="5" borderId="12" xfId="1" applyNumberFormat="1" applyFont="1" applyFill="1" applyBorder="1" applyAlignment="1">
      <alignment horizontal="center" vertical="center"/>
    </xf>
    <xf numFmtId="0" fontId="6" fillId="5" borderId="5" xfId="1" applyNumberFormat="1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165" fontId="6" fillId="2" borderId="7" xfId="0" applyNumberFormat="1" applyFont="1" applyFill="1" applyBorder="1" applyAlignment="1">
      <alignment horizontal="center" vertical="center"/>
    </xf>
    <xf numFmtId="165" fontId="6" fillId="2" borderId="5" xfId="0" applyNumberFormat="1" applyFont="1" applyFill="1" applyBorder="1" applyAlignment="1">
      <alignment horizontal="center" vertical="center"/>
    </xf>
    <xf numFmtId="165" fontId="6" fillId="5" borderId="7" xfId="0" applyNumberFormat="1" applyFont="1" applyFill="1" applyBorder="1" applyAlignment="1">
      <alignment horizontal="center" vertical="center"/>
    </xf>
    <xf numFmtId="165" fontId="6" fillId="5" borderId="12" xfId="0" applyNumberFormat="1" applyFont="1" applyFill="1" applyBorder="1" applyAlignment="1">
      <alignment horizontal="center" vertical="center"/>
    </xf>
    <xf numFmtId="165" fontId="6" fillId="5" borderId="5" xfId="0" applyNumberFormat="1" applyFont="1" applyFill="1" applyBorder="1" applyAlignment="1">
      <alignment horizontal="center" vertical="center"/>
    </xf>
    <xf numFmtId="1" fontId="5" fillId="2" borderId="3" xfId="0" applyNumberFormat="1" applyFont="1" applyFill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1" fontId="5" fillId="2" borderId="4" xfId="0" applyNumberFormat="1" applyFont="1" applyFill="1" applyBorder="1" applyAlignment="1">
      <alignment horizontal="center" vertical="center" wrapText="1"/>
    </xf>
    <xf numFmtId="14" fontId="5" fillId="2" borderId="3" xfId="0" applyNumberFormat="1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14" fontId="5" fillId="2" borderId="4" xfId="0" applyNumberFormat="1" applyFont="1" applyFill="1" applyBorder="1" applyAlignment="1">
      <alignment horizontal="center" vertical="center"/>
    </xf>
    <xf numFmtId="0" fontId="5" fillId="2" borderId="3" xfId="1" applyNumberFormat="1" applyFont="1" applyFill="1" applyBorder="1" applyAlignment="1">
      <alignment horizontal="center" vertical="center"/>
    </xf>
    <xf numFmtId="1" fontId="5" fillId="0" borderId="7" xfId="0" applyNumberFormat="1" applyFont="1" applyBorder="1" applyAlignment="1">
      <alignment horizontal="center" vertical="center" wrapText="1"/>
    </xf>
    <xf numFmtId="1" fontId="5" fillId="0" borderId="12" xfId="0" applyNumberFormat="1" applyFont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 vertical="center" wrapText="1"/>
    </xf>
    <xf numFmtId="14" fontId="5" fillId="0" borderId="7" xfId="0" applyNumberFormat="1" applyFont="1" applyBorder="1" applyAlignment="1">
      <alignment horizontal="center" vertical="center"/>
    </xf>
    <xf numFmtId="14" fontId="5" fillId="0" borderId="12" xfId="0" applyNumberFormat="1" applyFont="1" applyBorder="1" applyAlignment="1">
      <alignment horizontal="center" vertical="center"/>
    </xf>
    <xf numFmtId="14" fontId="5" fillId="0" borderId="5" xfId="0" applyNumberFormat="1" applyFont="1" applyBorder="1" applyAlignment="1">
      <alignment horizontal="center" vertical="center"/>
    </xf>
    <xf numFmtId="1" fontId="5" fillId="2" borderId="7" xfId="0" applyNumberFormat="1" applyFont="1" applyFill="1" applyBorder="1" applyAlignment="1">
      <alignment horizontal="center" vertical="center" wrapText="1"/>
    </xf>
    <xf numFmtId="1" fontId="5" fillId="2" borderId="12" xfId="0" applyNumberFormat="1" applyFont="1" applyFill="1" applyBorder="1" applyAlignment="1">
      <alignment horizontal="center" vertical="center" wrapText="1"/>
    </xf>
    <xf numFmtId="1" fontId="5" fillId="2" borderId="5" xfId="0" applyNumberFormat="1" applyFont="1" applyFill="1" applyBorder="1" applyAlignment="1">
      <alignment horizontal="center" vertical="center" wrapText="1"/>
    </xf>
    <xf numFmtId="14" fontId="5" fillId="2" borderId="7" xfId="0" applyNumberFormat="1" applyFont="1" applyFill="1" applyBorder="1" applyAlignment="1">
      <alignment horizontal="center" vertical="center"/>
    </xf>
    <xf numFmtId="14" fontId="5" fillId="2" borderId="12" xfId="0" applyNumberFormat="1" applyFont="1" applyFill="1" applyBorder="1" applyAlignment="1">
      <alignment horizontal="center" vertical="center"/>
    </xf>
    <xf numFmtId="14" fontId="5" fillId="2" borderId="5" xfId="0" applyNumberFormat="1" applyFont="1" applyFill="1" applyBorder="1" applyAlignment="1">
      <alignment horizontal="center" vertical="center"/>
    </xf>
    <xf numFmtId="0" fontId="5" fillId="5" borderId="6" xfId="1" applyNumberFormat="1" applyFont="1" applyFill="1" applyBorder="1" applyAlignment="1">
      <alignment horizontal="center" vertical="center" wrapText="1"/>
    </xf>
    <xf numFmtId="0" fontId="5" fillId="5" borderId="12" xfId="1" applyNumberFormat="1" applyFont="1" applyFill="1" applyBorder="1" applyAlignment="1">
      <alignment horizontal="center" vertical="center" wrapText="1"/>
    </xf>
    <xf numFmtId="0" fontId="5" fillId="5" borderId="5" xfId="1" applyNumberFormat="1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7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</dxf>
  </dxfs>
  <tableStyles count="1" defaultTableStyle="TableStyleMedium2" defaultPivotStyle="PivotStyleLight16">
    <tableStyle name="Table Style 1" pivot="0" count="0" xr9:uid="{AF25EBFB-1F7B-45D4-94B2-7E99A63A65F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 2007 - 2010">
  <a:themeElements>
    <a:clrScheme name="Custom 1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T187"/>
  <sheetViews>
    <sheetView tabSelected="1" zoomScaleNormal="100" workbookViewId="0">
      <pane xSplit="1" ySplit="2" topLeftCell="B11" activePane="bottomRight" state="frozen"/>
      <selection pane="topRight" activeCell="C1" sqref="C1"/>
      <selection pane="bottomLeft" activeCell="A2" sqref="A2"/>
      <selection pane="bottomRight" activeCell="I27" sqref="I27"/>
    </sheetView>
  </sheetViews>
  <sheetFormatPr defaultColWidth="2.7265625" defaultRowHeight="10.5" x14ac:dyDescent="0.25"/>
  <cols>
    <col min="1" max="1" width="11.7265625" style="182" customWidth="1"/>
    <col min="2" max="3" width="11.7265625" style="179" customWidth="1"/>
    <col min="4" max="4" width="11.54296875" style="179" customWidth="1"/>
    <col min="5" max="5" width="7.453125" style="179" customWidth="1"/>
    <col min="6" max="6" width="48.6328125" style="8" customWidth="1"/>
    <col min="7" max="7" width="6.54296875" style="2" customWidth="1"/>
    <col min="8" max="8" width="9.7265625" style="2" customWidth="1"/>
    <col min="9" max="9" width="6.453125" style="2" customWidth="1"/>
    <col min="10" max="12" width="8.54296875" style="216" customWidth="1"/>
    <col min="13" max="13" width="8.54296875" style="3" customWidth="1"/>
    <col min="14" max="15" width="10.08984375" style="192" bestFit="1" customWidth="1"/>
    <col min="16" max="16" width="8.81640625" style="190" bestFit="1" customWidth="1"/>
    <col min="17" max="18" width="11.54296875" style="192" bestFit="1" customWidth="1"/>
    <col min="19" max="19" width="12.1796875" style="190" bestFit="1" customWidth="1"/>
    <col min="20" max="20" width="37.26953125" style="1" customWidth="1"/>
    <col min="21" max="21" width="18.54296875" style="1" customWidth="1"/>
    <col min="22" max="22" width="23.1796875" style="1" customWidth="1"/>
    <col min="23" max="23" width="11.54296875" style="1" customWidth="1"/>
    <col min="24" max="24" width="16.26953125" style="1" bestFit="1" customWidth="1"/>
    <col min="25" max="25" width="14.1796875" style="1" bestFit="1" customWidth="1"/>
    <col min="26" max="29" width="10.7265625" style="1" customWidth="1"/>
    <col min="30" max="16384" width="2.7265625" style="1"/>
  </cols>
  <sheetData>
    <row r="1" spans="1:25" x14ac:dyDescent="0.25">
      <c r="A1" s="371"/>
      <c r="B1" s="371"/>
      <c r="C1" s="371"/>
      <c r="D1" s="371"/>
      <c r="E1" s="371"/>
      <c r="F1" s="371"/>
      <c r="G1" s="371"/>
      <c r="H1" s="371"/>
      <c r="I1" s="371"/>
      <c r="J1" s="371"/>
      <c r="K1" s="371"/>
      <c r="L1" s="371"/>
      <c r="M1" s="371"/>
    </row>
    <row r="2" spans="1:25" s="4" customFormat="1" ht="33.5" customHeight="1" x14ac:dyDescent="0.3">
      <c r="A2" s="181" t="s">
        <v>0</v>
      </c>
      <c r="B2" s="73" t="s">
        <v>61</v>
      </c>
      <c r="C2" s="73" t="s">
        <v>63</v>
      </c>
      <c r="D2" s="73" t="s">
        <v>12</v>
      </c>
      <c r="E2" s="73" t="s">
        <v>13</v>
      </c>
      <c r="F2" s="75" t="s">
        <v>6</v>
      </c>
      <c r="G2" s="77" t="s">
        <v>10</v>
      </c>
      <c r="H2" s="183" t="s">
        <v>11</v>
      </c>
      <c r="I2" s="73" t="s">
        <v>7</v>
      </c>
      <c r="J2" s="71" t="s">
        <v>59</v>
      </c>
      <c r="K2" s="71" t="s">
        <v>60</v>
      </c>
      <c r="L2" s="71" t="s">
        <v>39</v>
      </c>
      <c r="M2" s="138" t="s">
        <v>2</v>
      </c>
      <c r="N2" s="191" t="s">
        <v>57</v>
      </c>
      <c r="O2" s="191" t="s">
        <v>58</v>
      </c>
      <c r="P2" s="189" t="s">
        <v>67</v>
      </c>
      <c r="Q2" s="191" t="s">
        <v>55</v>
      </c>
      <c r="R2" s="191" t="s">
        <v>56</v>
      </c>
      <c r="S2" s="189" t="s">
        <v>68</v>
      </c>
      <c r="T2" s="72" t="s">
        <v>8</v>
      </c>
      <c r="U2" s="72" t="s">
        <v>62</v>
      </c>
      <c r="V2" s="4" t="s">
        <v>80</v>
      </c>
      <c r="W2" s="4" t="s">
        <v>76</v>
      </c>
      <c r="X2" s="4" t="s">
        <v>77</v>
      </c>
      <c r="Y2" s="4" t="s">
        <v>78</v>
      </c>
    </row>
    <row r="3" spans="1:25" s="5" customFormat="1" ht="15" customHeight="1" x14ac:dyDescent="0.3">
      <c r="A3" s="391">
        <v>46086</v>
      </c>
      <c r="B3" s="395">
        <v>92261</v>
      </c>
      <c r="C3" s="395" t="s">
        <v>65</v>
      </c>
      <c r="D3" s="395" t="s">
        <v>87</v>
      </c>
      <c r="E3" s="395">
        <v>572648</v>
      </c>
      <c r="F3" s="392" t="s">
        <v>64</v>
      </c>
      <c r="G3" s="27" t="s">
        <v>4</v>
      </c>
      <c r="H3" s="159">
        <f>A3+I3</f>
        <v>46093</v>
      </c>
      <c r="I3" s="27">
        <v>7</v>
      </c>
      <c r="J3" s="195"/>
      <c r="K3" s="130">
        <v>3730</v>
      </c>
      <c r="L3" s="195"/>
      <c r="M3" s="79"/>
      <c r="N3" s="380"/>
      <c r="O3" s="381">
        <v>3.5</v>
      </c>
      <c r="P3" s="338" t="str">
        <f>IF(N3="","",IF(AND(N3&gt;=3,A1&lt;=5),"PASS","FAIL"))</f>
        <v/>
      </c>
      <c r="Q3" s="380"/>
      <c r="R3" s="380">
        <v>2</v>
      </c>
      <c r="S3" s="382" t="str">
        <f>IF(Q3="","",
   IF(OR(E3=572648,E3=57180),
      IF(Q3&lt;=3,"PASS","FAIL"),
      IF(AND(Q3&gt;=3.8,Q3&lt;=6.2),"PASS","FAIL")
   )
)</f>
        <v/>
      </c>
      <c r="T3" s="30"/>
      <c r="U3" s="188" t="s">
        <v>69</v>
      </c>
      <c r="V3" s="4" t="s">
        <v>79</v>
      </c>
      <c r="W3" s="4" t="s">
        <v>74</v>
      </c>
      <c r="X3" s="5" t="s">
        <v>75</v>
      </c>
      <c r="Y3" s="6">
        <v>5</v>
      </c>
    </row>
    <row r="4" spans="1:25" s="5" customFormat="1" ht="15" customHeight="1" x14ac:dyDescent="0.35">
      <c r="A4" s="353"/>
      <c r="B4" s="355"/>
      <c r="C4" s="355"/>
      <c r="D4" s="355"/>
      <c r="E4" s="355"/>
      <c r="F4" s="393"/>
      <c r="G4" s="27" t="s">
        <v>5</v>
      </c>
      <c r="H4" s="159">
        <f>A3+I4</f>
        <v>46100</v>
      </c>
      <c r="I4" s="105">
        <v>14</v>
      </c>
      <c r="J4" s="195"/>
      <c r="K4" s="307">
        <v>4620</v>
      </c>
      <c r="L4" s="295"/>
      <c r="M4" s="106"/>
      <c r="N4" s="348"/>
      <c r="O4" s="342"/>
      <c r="P4" s="339"/>
      <c r="Q4" s="348"/>
      <c r="R4" s="348"/>
      <c r="S4" s="383"/>
      <c r="T4" s="95"/>
      <c r="V4" s="5">
        <v>56</v>
      </c>
      <c r="W4" s="5" t="s">
        <v>81</v>
      </c>
      <c r="X4" t="s">
        <v>82</v>
      </c>
      <c r="Y4" s="5">
        <v>5.4</v>
      </c>
    </row>
    <row r="5" spans="1:25" s="5" customFormat="1" ht="15" customHeight="1" x14ac:dyDescent="0.35">
      <c r="A5" s="353"/>
      <c r="B5" s="355"/>
      <c r="C5" s="355"/>
      <c r="D5" s="355"/>
      <c r="E5" s="355"/>
      <c r="F5" s="393"/>
      <c r="G5" s="27" t="s">
        <v>42</v>
      </c>
      <c r="H5" s="159">
        <f>A3+I5</f>
        <v>46114</v>
      </c>
      <c r="I5" s="105">
        <v>28</v>
      </c>
      <c r="J5" s="206">
        <v>4340</v>
      </c>
      <c r="K5" s="307">
        <v>4860</v>
      </c>
      <c r="L5" s="295">
        <v>4000</v>
      </c>
      <c r="M5" s="106"/>
      <c r="N5" s="348"/>
      <c r="O5" s="342"/>
      <c r="P5" s="339"/>
      <c r="Q5" s="348"/>
      <c r="R5" s="348"/>
      <c r="S5" s="383"/>
      <c r="T5" s="95"/>
      <c r="X5"/>
    </row>
    <row r="6" spans="1:25" s="5" customFormat="1" ht="13.5" customHeight="1" thickBot="1" x14ac:dyDescent="0.4">
      <c r="A6" s="354"/>
      <c r="B6" s="356"/>
      <c r="C6" s="356"/>
      <c r="D6" s="356"/>
      <c r="E6" s="356"/>
      <c r="F6" s="394"/>
      <c r="G6" s="12" t="s">
        <v>84</v>
      </c>
      <c r="H6" s="59">
        <f>A3+I6</f>
        <v>46114</v>
      </c>
      <c r="I6" s="107">
        <v>28</v>
      </c>
      <c r="J6" s="196">
        <v>4220</v>
      </c>
      <c r="K6" s="247">
        <v>4890</v>
      </c>
      <c r="L6" s="301">
        <v>4000</v>
      </c>
      <c r="M6" s="109" t="str">
        <f>IF(OR(J6&gt;=L6, ISBLANK(J6)),"Pass","Fail")</f>
        <v>Pass</v>
      </c>
      <c r="N6" s="349"/>
      <c r="O6" s="343"/>
      <c r="P6" s="340"/>
      <c r="Q6" s="349"/>
      <c r="R6" s="349"/>
      <c r="S6" s="384"/>
      <c r="T6" s="14"/>
      <c r="V6" s="5">
        <v>65</v>
      </c>
      <c r="W6" s="5">
        <v>572648</v>
      </c>
      <c r="X6" t="s">
        <v>87</v>
      </c>
      <c r="Y6" s="5">
        <v>2</v>
      </c>
    </row>
    <row r="7" spans="1:25" s="5" customFormat="1" ht="15" thickTop="1" x14ac:dyDescent="0.35">
      <c r="A7" s="357">
        <v>46093</v>
      </c>
      <c r="B7" s="350">
        <v>92262</v>
      </c>
      <c r="C7" s="350" t="s">
        <v>86</v>
      </c>
      <c r="D7" s="396" t="s">
        <v>87</v>
      </c>
      <c r="E7" s="350">
        <v>572648</v>
      </c>
      <c r="F7" s="389" t="s">
        <v>88</v>
      </c>
      <c r="G7" s="101" t="s">
        <v>4</v>
      </c>
      <c r="H7" s="117">
        <f>A7+I7</f>
        <v>46100</v>
      </c>
      <c r="I7" s="101">
        <v>7</v>
      </c>
      <c r="J7" s="282"/>
      <c r="K7" s="280"/>
      <c r="L7" s="214"/>
      <c r="M7" s="241"/>
      <c r="N7" s="329"/>
      <c r="O7" s="329">
        <v>4</v>
      </c>
      <c r="P7" s="332"/>
      <c r="Q7" s="329"/>
      <c r="R7" s="329">
        <v>3.1</v>
      </c>
      <c r="S7" s="379"/>
      <c r="T7" s="40"/>
      <c r="V7" s="5" t="s">
        <v>83</v>
      </c>
      <c r="W7" s="5">
        <v>57180</v>
      </c>
      <c r="X7" t="s">
        <v>87</v>
      </c>
      <c r="Y7" s="5">
        <v>2</v>
      </c>
    </row>
    <row r="8" spans="1:25" s="5" customFormat="1" ht="14.5" x14ac:dyDescent="0.35">
      <c r="A8" s="358"/>
      <c r="B8" s="351"/>
      <c r="C8" s="351"/>
      <c r="D8" s="351"/>
      <c r="E8" s="351"/>
      <c r="F8" s="390"/>
      <c r="G8" s="90" t="s">
        <v>5</v>
      </c>
      <c r="H8" s="122">
        <f>A7+I8</f>
        <v>46107</v>
      </c>
      <c r="I8" s="90">
        <v>14</v>
      </c>
      <c r="J8" s="283"/>
      <c r="K8" s="123">
        <v>4760</v>
      </c>
      <c r="L8" s="198"/>
      <c r="M8" s="93"/>
      <c r="N8" s="330"/>
      <c r="O8" s="330"/>
      <c r="P8" s="333"/>
      <c r="Q8" s="330"/>
      <c r="R8" s="330"/>
      <c r="S8" s="333"/>
      <c r="T8" s="102"/>
      <c r="X8"/>
    </row>
    <row r="9" spans="1:25" s="5" customFormat="1" ht="15" customHeight="1" x14ac:dyDescent="0.35">
      <c r="A9" s="358"/>
      <c r="B9" s="351"/>
      <c r="C9" s="351"/>
      <c r="D9" s="351"/>
      <c r="E9" s="351"/>
      <c r="F9" s="361"/>
      <c r="G9" s="90" t="s">
        <v>42</v>
      </c>
      <c r="H9" s="122">
        <f>A7+I9</f>
        <v>46121</v>
      </c>
      <c r="I9" s="90">
        <v>28</v>
      </c>
      <c r="J9" s="283">
        <v>4920</v>
      </c>
      <c r="K9" s="123">
        <v>4980</v>
      </c>
      <c r="L9" s="198"/>
      <c r="M9" s="93" t="str">
        <f>IF(OR(J9&gt;=L9, ISBLANK(J9)),"Pass","Fail")</f>
        <v>Pass</v>
      </c>
      <c r="N9" s="330"/>
      <c r="O9" s="330"/>
      <c r="P9" s="333"/>
      <c r="Q9" s="330"/>
      <c r="R9" s="330"/>
      <c r="S9" s="333"/>
      <c r="T9" s="102"/>
      <c r="X9"/>
      <c r="Y9" s="5">
        <v>5</v>
      </c>
    </row>
    <row r="10" spans="1:25" s="5" customFormat="1" ht="15" thickBot="1" x14ac:dyDescent="0.4">
      <c r="A10" s="359"/>
      <c r="B10" s="352"/>
      <c r="C10" s="352"/>
      <c r="D10" s="352"/>
      <c r="E10" s="352"/>
      <c r="F10" s="362"/>
      <c r="G10" s="50" t="s">
        <v>84</v>
      </c>
      <c r="H10" s="87">
        <f>A7+I10</f>
        <v>46121</v>
      </c>
      <c r="I10" s="50">
        <v>28</v>
      </c>
      <c r="J10" s="205">
        <v>4860</v>
      </c>
      <c r="K10" s="278">
        <v>5020</v>
      </c>
      <c r="L10" s="205"/>
      <c r="M10" s="81" t="str">
        <f>IF(OR(J10&gt;=L10, ISBLANK(J10)),"Pass","Fail")</f>
        <v>Pass</v>
      </c>
      <c r="N10" s="331"/>
      <c r="O10" s="331"/>
      <c r="P10" s="334"/>
      <c r="Q10" s="331"/>
      <c r="R10" s="331"/>
      <c r="S10" s="334"/>
      <c r="T10" s="44"/>
      <c r="X10"/>
    </row>
    <row r="11" spans="1:25" s="6" customFormat="1" ht="15" customHeight="1" thickTop="1" x14ac:dyDescent="0.3">
      <c r="A11" s="386">
        <v>46100</v>
      </c>
      <c r="B11" s="344">
        <v>93688</v>
      </c>
      <c r="C11" s="344" t="s">
        <v>90</v>
      </c>
      <c r="D11" s="403" t="s">
        <v>54</v>
      </c>
      <c r="E11" s="344">
        <v>572648</v>
      </c>
      <c r="F11" s="404" t="s">
        <v>70</v>
      </c>
      <c r="G11" s="143" t="s">
        <v>4</v>
      </c>
      <c r="H11" s="319">
        <f>A11+I11</f>
        <v>46107</v>
      </c>
      <c r="I11" s="143">
        <v>7</v>
      </c>
      <c r="J11" s="320">
        <v>3260</v>
      </c>
      <c r="K11" s="309">
        <v>3360</v>
      </c>
      <c r="L11" s="293"/>
      <c r="M11" s="321"/>
      <c r="N11" s="341">
        <v>3.5</v>
      </c>
      <c r="O11" s="341">
        <v>3.5</v>
      </c>
      <c r="P11" s="338" t="str">
        <f>IF(OR(ISBLANK(N11)),"",IF(AND(N11&lt;=5, 7&gt;=3),"Pass","Fail"))</f>
        <v>Pass</v>
      </c>
      <c r="Q11" s="341">
        <v>2.2000000000000002</v>
      </c>
      <c r="R11" s="341">
        <v>2</v>
      </c>
      <c r="S11" s="378" t="str">
        <f>IF(Q11="","",
   IF(OR(E11=572648,E11=57180),
      IF(Q11&lt;=3,"PASS","FAIL"),
      IF(AND(Q11&gt;=3.8,#REF!&lt;=6.2),"PASS","FAIL")
   )
)</f>
        <v>PASS</v>
      </c>
      <c r="T11" s="144"/>
    </row>
    <row r="12" spans="1:25" s="6" customFormat="1" ht="15" customHeight="1" x14ac:dyDescent="0.3">
      <c r="A12" s="387"/>
      <c r="B12" s="345"/>
      <c r="C12" s="345"/>
      <c r="D12" s="345"/>
      <c r="E12" s="345"/>
      <c r="F12" s="347"/>
      <c r="G12" s="145" t="s">
        <v>5</v>
      </c>
      <c r="H12" s="184">
        <f>A11+I12</f>
        <v>46128</v>
      </c>
      <c r="I12" s="145">
        <v>28</v>
      </c>
      <c r="J12" s="322"/>
      <c r="K12" s="310"/>
      <c r="L12" s="295"/>
      <c r="M12" s="106" t="str">
        <f>IF(OR(J12&gt;=L12, ISBLANK(J12)),"Pass","Fail")</f>
        <v>Pass</v>
      </c>
      <c r="N12" s="342"/>
      <c r="O12" s="342"/>
      <c r="P12" s="339"/>
      <c r="Q12" s="342"/>
      <c r="R12" s="342"/>
      <c r="S12" s="339"/>
      <c r="T12" s="146"/>
    </row>
    <row r="13" spans="1:25" s="6" customFormat="1" ht="15" customHeight="1" thickBot="1" x14ac:dyDescent="0.35">
      <c r="A13" s="388"/>
      <c r="B13" s="364"/>
      <c r="C13" s="364"/>
      <c r="D13" s="364"/>
      <c r="E13" s="364"/>
      <c r="F13" s="385"/>
      <c r="G13" s="107" t="s">
        <v>42</v>
      </c>
      <c r="H13" s="233">
        <f>A11+I13</f>
        <v>46128</v>
      </c>
      <c r="I13" s="105">
        <v>28</v>
      </c>
      <c r="J13" s="295"/>
      <c r="K13" s="247"/>
      <c r="L13" s="295"/>
      <c r="M13" s="109" t="str">
        <f>IF(OR(J13&gt;=L13, ISBLANK(J13)),"Pass","Fail")</f>
        <v>Pass</v>
      </c>
      <c r="N13" s="343"/>
      <c r="O13" s="343"/>
      <c r="P13" s="340"/>
      <c r="Q13" s="343"/>
      <c r="R13" s="343"/>
      <c r="S13" s="340"/>
      <c r="T13" s="239"/>
    </row>
    <row r="14" spans="1:25" s="5" customFormat="1" ht="15" customHeight="1" thickTop="1" x14ac:dyDescent="0.3">
      <c r="A14" s="357">
        <v>46106</v>
      </c>
      <c r="B14" s="350">
        <v>94109</v>
      </c>
      <c r="C14" s="350" t="s">
        <v>93</v>
      </c>
      <c r="D14" s="396" t="s">
        <v>54</v>
      </c>
      <c r="E14" s="396">
        <v>572648</v>
      </c>
      <c r="F14" s="360" t="s">
        <v>71</v>
      </c>
      <c r="G14" s="37" t="s">
        <v>4</v>
      </c>
      <c r="H14" s="62">
        <f>A14+I14</f>
        <v>46113</v>
      </c>
      <c r="I14" s="155">
        <v>7</v>
      </c>
      <c r="J14" s="207">
        <v>3490</v>
      </c>
      <c r="K14" s="226">
        <v>4310</v>
      </c>
      <c r="L14" s="207"/>
      <c r="M14" s="93"/>
      <c r="N14" s="329">
        <v>4.25</v>
      </c>
      <c r="O14" s="329">
        <v>4.25</v>
      </c>
      <c r="P14" s="332" t="str">
        <f>IF(OR(ISBLANK(N14)),"",IF(AND(N14&lt;=5, 7&gt;=3),"Pass","Fail"))</f>
        <v>Pass</v>
      </c>
      <c r="Q14" s="329">
        <v>1.2</v>
      </c>
      <c r="R14" s="329">
        <v>2.5</v>
      </c>
      <c r="S14" s="379" t="str">
        <f>IF(Q14="","",
   IF(OR(E14=572648,E14=57180),
      IF(Q14&lt;=3,"PASS","FAIL"),
      IF(AND(Q14&gt;=3.8,#REF!&lt;=6.2),"PASS","FAIL")
   )
)</f>
        <v>PASS</v>
      </c>
      <c r="T14" s="156"/>
    </row>
    <row r="15" spans="1:25" s="5" customFormat="1" ht="15" customHeight="1" x14ac:dyDescent="0.3">
      <c r="A15" s="358"/>
      <c r="B15" s="351"/>
      <c r="C15" s="351"/>
      <c r="D15" s="351"/>
      <c r="E15" s="351"/>
      <c r="F15" s="361"/>
      <c r="G15" s="101" t="s">
        <v>5</v>
      </c>
      <c r="H15" s="122">
        <f>A14+I15</f>
        <v>46120</v>
      </c>
      <c r="I15" s="280">
        <v>14</v>
      </c>
      <c r="J15" s="198"/>
      <c r="K15" s="173">
        <v>5040</v>
      </c>
      <c r="L15" s="198"/>
      <c r="M15" s="93"/>
      <c r="N15" s="330"/>
      <c r="O15" s="330"/>
      <c r="P15" s="333"/>
      <c r="Q15" s="330"/>
      <c r="R15" s="330"/>
      <c r="S15" s="333"/>
      <c r="T15" s="323"/>
    </row>
    <row r="16" spans="1:25" s="5" customFormat="1" ht="15" customHeight="1" x14ac:dyDescent="0.3">
      <c r="A16" s="358"/>
      <c r="B16" s="351"/>
      <c r="C16" s="351"/>
      <c r="D16" s="351"/>
      <c r="E16" s="351"/>
      <c r="F16" s="361"/>
      <c r="G16" s="41" t="s">
        <v>42</v>
      </c>
      <c r="H16" s="122">
        <f>A14+I16</f>
        <v>46134</v>
      </c>
      <c r="I16" s="123">
        <v>28</v>
      </c>
      <c r="J16" s="198"/>
      <c r="K16" s="173"/>
      <c r="L16" s="198"/>
      <c r="M16" s="93" t="str">
        <f>IF(OR(J16&gt;=L16, ISBLANK(J16)),"Pass","Fail")</f>
        <v>Pass</v>
      </c>
      <c r="N16" s="330"/>
      <c r="O16" s="330"/>
      <c r="P16" s="333"/>
      <c r="Q16" s="330"/>
      <c r="R16" s="330"/>
      <c r="S16" s="333"/>
      <c r="T16" s="323"/>
    </row>
    <row r="17" spans="1:46" s="5" customFormat="1" ht="15" customHeight="1" thickBot="1" x14ac:dyDescent="0.35">
      <c r="A17" s="358"/>
      <c r="B17" s="351"/>
      <c r="C17" s="352"/>
      <c r="D17" s="352"/>
      <c r="E17" s="352"/>
      <c r="F17" s="361"/>
      <c r="G17" s="50" t="s">
        <v>84</v>
      </c>
      <c r="H17" s="87">
        <f>A14+I17</f>
        <v>46134</v>
      </c>
      <c r="I17" s="237">
        <v>28</v>
      </c>
      <c r="J17" s="208"/>
      <c r="K17" s="68"/>
      <c r="L17" s="208"/>
      <c r="M17" s="81" t="str">
        <f>IF(OR(J17&gt;=L17, ISBLANK(J17)),"Pass","Fail")</f>
        <v>Pass</v>
      </c>
      <c r="N17" s="331"/>
      <c r="O17" s="331"/>
      <c r="P17" s="334"/>
      <c r="Q17" s="331"/>
      <c r="R17" s="331"/>
      <c r="S17" s="334"/>
      <c r="T17" s="250"/>
    </row>
    <row r="18" spans="1:46" s="6" customFormat="1" ht="15" customHeight="1" thickTop="1" x14ac:dyDescent="0.3">
      <c r="A18" s="397">
        <v>46113</v>
      </c>
      <c r="B18" s="400">
        <v>94112</v>
      </c>
      <c r="C18" s="314"/>
      <c r="D18" s="403" t="s">
        <v>87</v>
      </c>
      <c r="E18" s="344">
        <v>571801</v>
      </c>
      <c r="F18" s="485"/>
      <c r="G18" s="143" t="s">
        <v>4</v>
      </c>
      <c r="H18" s="319">
        <f>A18+I18</f>
        <v>46120</v>
      </c>
      <c r="I18" s="143">
        <v>7</v>
      </c>
      <c r="J18" s="305">
        <v>5740</v>
      </c>
      <c r="K18" s="324">
        <v>5370</v>
      </c>
      <c r="L18" s="305"/>
      <c r="M18" s="106"/>
      <c r="N18" s="341">
        <v>2.75</v>
      </c>
      <c r="O18" s="341">
        <v>2.75</v>
      </c>
      <c r="P18" s="338" t="str">
        <f>IF(OR(ISBLANK(N18)),"",IF(AND(N18&lt;=5, 7&gt;=3),"Pass","Fail"))</f>
        <v>Pass</v>
      </c>
      <c r="Q18" s="341">
        <v>1.6</v>
      </c>
      <c r="R18" s="341">
        <v>1.5</v>
      </c>
      <c r="S18" s="378" t="s">
        <v>85</v>
      </c>
      <c r="T18" s="249"/>
      <c r="U18" s="157"/>
      <c r="V18" s="157"/>
      <c r="W18" s="157"/>
      <c r="X18" s="157"/>
      <c r="Y18" s="157"/>
      <c r="Z18" s="157"/>
      <c r="AA18" s="157"/>
      <c r="AB18" s="157"/>
      <c r="AC18" s="157"/>
      <c r="AD18" s="157"/>
      <c r="AE18" s="157"/>
      <c r="AF18" s="157"/>
    </row>
    <row r="19" spans="1:46" s="6" customFormat="1" ht="15" customHeight="1" x14ac:dyDescent="0.3">
      <c r="A19" s="398"/>
      <c r="B19" s="401"/>
      <c r="C19" s="220" t="s">
        <v>89</v>
      </c>
      <c r="D19" s="345"/>
      <c r="E19" s="345"/>
      <c r="F19" s="405"/>
      <c r="G19" s="145" t="s">
        <v>5</v>
      </c>
      <c r="H19" s="184">
        <f>A18+I19</f>
        <v>46141</v>
      </c>
      <c r="I19" s="145">
        <v>28</v>
      </c>
      <c r="J19" s="296"/>
      <c r="K19" s="325"/>
      <c r="L19" s="296"/>
      <c r="M19" s="106" t="str">
        <f>IF(OR(J19&gt;=L19, ISBLANK(J19)),"Pass","Fail")</f>
        <v>Pass</v>
      </c>
      <c r="N19" s="342"/>
      <c r="O19" s="342"/>
      <c r="P19" s="339"/>
      <c r="Q19" s="342"/>
      <c r="R19" s="342"/>
      <c r="S19" s="339"/>
      <c r="T19" s="242"/>
      <c r="U19" s="157"/>
      <c r="V19" s="157"/>
      <c r="W19" s="157"/>
      <c r="X19" s="157"/>
      <c r="Y19" s="157"/>
      <c r="Z19" s="157"/>
      <c r="AA19" s="157"/>
      <c r="AB19" s="157"/>
      <c r="AC19" s="157"/>
      <c r="AD19" s="157"/>
      <c r="AE19" s="157"/>
      <c r="AF19" s="157"/>
    </row>
    <row r="20" spans="1:46" s="6" customFormat="1" ht="19.5" customHeight="1" thickBot="1" x14ac:dyDescent="0.35">
      <c r="A20" s="399"/>
      <c r="B20" s="402"/>
      <c r="C20" s="221"/>
      <c r="D20" s="364"/>
      <c r="E20" s="364"/>
      <c r="F20" s="406"/>
      <c r="G20" s="107" t="s">
        <v>42</v>
      </c>
      <c r="H20" s="233">
        <f>A18+I20</f>
        <v>46141</v>
      </c>
      <c r="I20" s="107">
        <v>28</v>
      </c>
      <c r="J20" s="301"/>
      <c r="K20" s="247"/>
      <c r="L20" s="301"/>
      <c r="M20" s="109" t="str">
        <f>IF(OR(J20&gt;=L20, ISBLANK(J20)),"Pass","Fail")</f>
        <v>Pass</v>
      </c>
      <c r="N20" s="343"/>
      <c r="O20" s="343"/>
      <c r="P20" s="340"/>
      <c r="Q20" s="343"/>
      <c r="R20" s="343"/>
      <c r="S20" s="340"/>
      <c r="T20" s="147"/>
      <c r="U20" s="157"/>
      <c r="V20" s="157"/>
      <c r="W20" s="157"/>
      <c r="X20" s="157"/>
      <c r="Y20" s="157"/>
      <c r="Z20" s="157"/>
      <c r="AA20" s="157"/>
      <c r="AB20" s="157"/>
      <c r="AC20" s="157"/>
      <c r="AD20" s="157"/>
      <c r="AE20" s="157"/>
      <c r="AF20" s="157"/>
    </row>
    <row r="21" spans="1:46" s="6" customFormat="1" ht="19.5" customHeight="1" thickTop="1" x14ac:dyDescent="0.3">
      <c r="A21" s="435">
        <v>46115</v>
      </c>
      <c r="B21" s="413">
        <v>94113</v>
      </c>
      <c r="C21" s="407" t="s">
        <v>89</v>
      </c>
      <c r="D21" s="396" t="s">
        <v>87</v>
      </c>
      <c r="E21" s="350">
        <v>571801</v>
      </c>
      <c r="F21" s="389" t="s">
        <v>91</v>
      </c>
      <c r="G21" s="37" t="s">
        <v>4</v>
      </c>
      <c r="H21" s="62">
        <f>A21+I21</f>
        <v>46122</v>
      </c>
      <c r="I21" s="37">
        <v>7</v>
      </c>
      <c r="J21" s="207">
        <v>4590</v>
      </c>
      <c r="K21" s="155"/>
      <c r="L21" s="207"/>
      <c r="M21" s="93"/>
      <c r="N21" s="329">
        <v>3.5</v>
      </c>
      <c r="O21" s="329">
        <v>3.5</v>
      </c>
      <c r="P21" s="332" t="str">
        <f>IF(OR(ISBLANK(N21)),"",IF(AND(N21&lt;=5, 7&gt;=3),"Pass","Fail"))</f>
        <v>Pass</v>
      </c>
      <c r="Q21" s="329">
        <v>1.7</v>
      </c>
      <c r="R21" s="329">
        <v>1.8</v>
      </c>
      <c r="S21" s="379" t="s">
        <v>85</v>
      </c>
      <c r="T21" s="49"/>
      <c r="U21" s="157"/>
      <c r="V21" s="157"/>
      <c r="W21" s="157"/>
      <c r="X21" s="157"/>
      <c r="Y21" s="157"/>
      <c r="Z21" s="157"/>
      <c r="AA21" s="157"/>
      <c r="AB21" s="157"/>
      <c r="AC21" s="157"/>
      <c r="AD21" s="157"/>
      <c r="AE21" s="157"/>
      <c r="AF21" s="157"/>
    </row>
    <row r="22" spans="1:46" s="6" customFormat="1" ht="19.5" customHeight="1" x14ac:dyDescent="0.3">
      <c r="A22" s="436"/>
      <c r="B22" s="434"/>
      <c r="C22" s="408"/>
      <c r="D22" s="351"/>
      <c r="E22" s="351"/>
      <c r="F22" s="361"/>
      <c r="G22" s="101" t="s">
        <v>5</v>
      </c>
      <c r="H22" s="122">
        <f>A21+I22</f>
        <v>46143</v>
      </c>
      <c r="I22" s="101">
        <v>28</v>
      </c>
      <c r="J22" s="198"/>
      <c r="K22" s="123"/>
      <c r="L22" s="198"/>
      <c r="M22" s="93" t="str">
        <f>IF(OR(J22&gt;=L22, ISBLANK(J22)),"Pass","Fail")</f>
        <v>Pass</v>
      </c>
      <c r="N22" s="330"/>
      <c r="O22" s="330"/>
      <c r="P22" s="333"/>
      <c r="Q22" s="330"/>
      <c r="R22" s="330"/>
      <c r="S22" s="333"/>
      <c r="T22" s="92"/>
      <c r="U22" s="157"/>
      <c r="V22" s="157"/>
      <c r="W22" s="157"/>
      <c r="X22" s="157"/>
      <c r="Y22" s="157"/>
      <c r="Z22" s="157"/>
      <c r="AA22" s="157"/>
      <c r="AB22" s="157"/>
      <c r="AC22" s="157"/>
      <c r="AD22" s="157"/>
      <c r="AE22" s="157"/>
      <c r="AF22" s="157"/>
    </row>
    <row r="23" spans="1:46" s="6" customFormat="1" ht="19.5" customHeight="1" thickBot="1" x14ac:dyDescent="0.35">
      <c r="A23" s="437"/>
      <c r="B23" s="414"/>
      <c r="C23" s="409"/>
      <c r="D23" s="352"/>
      <c r="E23" s="352"/>
      <c r="F23" s="362"/>
      <c r="G23" s="41" t="s">
        <v>42</v>
      </c>
      <c r="H23" s="122">
        <f>A21+I23</f>
        <v>46143</v>
      </c>
      <c r="I23" s="50">
        <v>28</v>
      </c>
      <c r="J23" s="205"/>
      <c r="K23" s="278"/>
      <c r="L23" s="205"/>
      <c r="M23" s="81" t="str">
        <f>IF(OR(J23&gt;=L23, ISBLANK(J23)),"Pass","Fail")</f>
        <v>Pass</v>
      </c>
      <c r="N23" s="331"/>
      <c r="O23" s="331"/>
      <c r="P23" s="334"/>
      <c r="Q23" s="331"/>
      <c r="R23" s="331"/>
      <c r="S23" s="334"/>
      <c r="T23" s="54"/>
      <c r="U23" s="157"/>
      <c r="V23" s="157"/>
      <c r="W23" s="157"/>
      <c r="X23" s="157"/>
      <c r="Y23" s="157"/>
      <c r="Z23" s="157"/>
      <c r="AA23" s="157"/>
      <c r="AB23" s="157"/>
      <c r="AC23" s="157"/>
      <c r="AD23" s="157"/>
      <c r="AE23" s="157"/>
      <c r="AF23" s="157"/>
    </row>
    <row r="24" spans="1:46" s="5" customFormat="1" ht="15" customHeight="1" thickTop="1" x14ac:dyDescent="0.3">
      <c r="A24" s="387">
        <v>46116</v>
      </c>
      <c r="B24" s="345">
        <v>95309</v>
      </c>
      <c r="C24" s="345"/>
      <c r="D24" s="344" t="s">
        <v>87</v>
      </c>
      <c r="E24" s="344">
        <v>571801</v>
      </c>
      <c r="F24" s="486" t="s">
        <v>92</v>
      </c>
      <c r="G24" s="260" t="s">
        <v>4</v>
      </c>
      <c r="H24" s="184">
        <f>A24+I24</f>
        <v>46123</v>
      </c>
      <c r="I24" s="309">
        <v>7</v>
      </c>
      <c r="J24" s="293">
        <v>5460</v>
      </c>
      <c r="K24" s="313"/>
      <c r="L24" s="305"/>
      <c r="M24" s="106"/>
      <c r="N24" s="341">
        <v>4</v>
      </c>
      <c r="O24" s="341">
        <v>4.25</v>
      </c>
      <c r="P24" s="338" t="str">
        <f>IF(OR(ISBLANK(N24)),"",IF(AND(N24&lt;=5, 7&gt;=3),"Pass","Fail"))</f>
        <v>Pass</v>
      </c>
      <c r="Q24" s="341">
        <v>1.2</v>
      </c>
      <c r="R24" s="341">
        <v>1.3</v>
      </c>
      <c r="S24" s="338" t="s">
        <v>85</v>
      </c>
      <c r="T24" s="309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46" s="5" customFormat="1" ht="15" customHeight="1" x14ac:dyDescent="0.3">
      <c r="A25" s="387"/>
      <c r="B25" s="345"/>
      <c r="C25" s="345"/>
      <c r="D25" s="345"/>
      <c r="E25" s="345"/>
      <c r="F25" s="486"/>
      <c r="G25" s="105" t="s">
        <v>5</v>
      </c>
      <c r="H25" s="184">
        <f>A24+I25</f>
        <v>46123</v>
      </c>
      <c r="I25" s="310">
        <v>7</v>
      </c>
      <c r="J25" s="293">
        <v>5630</v>
      </c>
      <c r="K25" s="253"/>
      <c r="L25" s="294"/>
      <c r="M25" s="106"/>
      <c r="N25" s="342"/>
      <c r="O25" s="342"/>
      <c r="P25" s="339"/>
      <c r="Q25" s="342"/>
      <c r="R25" s="342"/>
      <c r="S25" s="339"/>
      <c r="T25" s="325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46" s="5" customFormat="1" ht="15" customHeight="1" x14ac:dyDescent="0.3">
      <c r="A26" s="387"/>
      <c r="B26" s="345"/>
      <c r="C26" s="345"/>
      <c r="D26" s="345"/>
      <c r="E26" s="345"/>
      <c r="F26" s="347"/>
      <c r="G26" s="105" t="s">
        <v>42</v>
      </c>
      <c r="H26" s="184">
        <f>A24+I26</f>
        <v>46144</v>
      </c>
      <c r="I26" s="307">
        <v>28</v>
      </c>
      <c r="J26" s="293"/>
      <c r="K26" s="223"/>
      <c r="L26" s="295"/>
      <c r="M26" s="106" t="str">
        <f>IF(OR(J26&gt;=L26, ISBLANK(J26)),"Pass","Fail")</f>
        <v>Pass</v>
      </c>
      <c r="N26" s="342"/>
      <c r="O26" s="342"/>
      <c r="P26" s="339"/>
      <c r="Q26" s="342"/>
      <c r="R26" s="342"/>
      <c r="S26" s="339"/>
      <c r="T26" s="310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46" s="5" customFormat="1" ht="15" customHeight="1" thickBot="1" x14ac:dyDescent="0.35">
      <c r="A27" s="388"/>
      <c r="B27" s="364"/>
      <c r="C27" s="364"/>
      <c r="D27" s="364"/>
      <c r="E27" s="364"/>
      <c r="F27" s="385"/>
      <c r="G27" s="107" t="s">
        <v>84</v>
      </c>
      <c r="H27" s="233">
        <f>A24+I27</f>
        <v>46144</v>
      </c>
      <c r="I27" s="307">
        <v>28</v>
      </c>
      <c r="J27" s="293"/>
      <c r="K27" s="247"/>
      <c r="L27" s="301"/>
      <c r="M27" s="109" t="str">
        <f>IF(OR(J27&gt;=L27, ISBLANK(J27)),"Pass","Fail")</f>
        <v>Pass</v>
      </c>
      <c r="N27" s="343"/>
      <c r="O27" s="343"/>
      <c r="P27" s="340"/>
      <c r="Q27" s="343"/>
      <c r="R27" s="343"/>
      <c r="S27" s="340"/>
      <c r="T27" s="30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46" s="5" customFormat="1" ht="15" customHeight="1" thickTop="1" x14ac:dyDescent="0.3">
      <c r="A28" s="357">
        <v>46118</v>
      </c>
      <c r="B28" s="350"/>
      <c r="C28" s="267"/>
      <c r="D28" s="350"/>
      <c r="E28" s="350"/>
      <c r="F28" s="360" t="s">
        <v>18</v>
      </c>
      <c r="G28" s="37" t="s">
        <v>4</v>
      </c>
      <c r="H28" s="62">
        <f>A28+I28</f>
        <v>46118</v>
      </c>
      <c r="I28" s="185"/>
      <c r="J28" s="285"/>
      <c r="K28" s="279"/>
      <c r="L28" s="213"/>
      <c r="M28" s="93"/>
      <c r="N28" s="329"/>
      <c r="O28" s="329"/>
      <c r="P28" s="379"/>
      <c r="Q28" s="329"/>
      <c r="R28" s="372"/>
      <c r="S28" s="379"/>
      <c r="T28" s="61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46" s="5" customFormat="1" ht="15" customHeight="1" x14ac:dyDescent="0.3">
      <c r="A29" s="358"/>
      <c r="B29" s="351"/>
      <c r="C29" s="265" t="s">
        <v>94</v>
      </c>
      <c r="D29" s="351"/>
      <c r="E29" s="351"/>
      <c r="F29" s="361"/>
      <c r="G29" s="101" t="s">
        <v>5</v>
      </c>
      <c r="H29" s="122">
        <f>A28+I29</f>
        <v>46118</v>
      </c>
      <c r="I29" s="186"/>
      <c r="J29" s="283"/>
      <c r="K29" s="123"/>
      <c r="L29" s="208"/>
      <c r="M29" s="93" t="str">
        <f>IF(OR(J29&gt;=L29, ISBLANK(J29)),"Pass","Fail")</f>
        <v>Pass</v>
      </c>
      <c r="N29" s="330"/>
      <c r="O29" s="330"/>
      <c r="P29" s="333"/>
      <c r="Q29" s="330"/>
      <c r="R29" s="373"/>
      <c r="S29" s="333"/>
      <c r="T29" s="90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46" s="5" customFormat="1" ht="15" customHeight="1" thickBot="1" x14ac:dyDescent="0.35">
      <c r="A30" s="359"/>
      <c r="B30" s="352"/>
      <c r="C30" s="266"/>
      <c r="D30" s="352"/>
      <c r="E30" s="352"/>
      <c r="F30" s="362"/>
      <c r="G30" s="50" t="s">
        <v>42</v>
      </c>
      <c r="H30" s="122">
        <f>A28+I30</f>
        <v>46118</v>
      </c>
      <c r="I30" s="187"/>
      <c r="J30" s="283"/>
      <c r="K30" s="123"/>
      <c r="L30" s="205"/>
      <c r="M30" s="81" t="str">
        <f>IF(OR(J30&gt;=L30, ISBLANK(J30)),"Pass","Fail")</f>
        <v>Pass</v>
      </c>
      <c r="N30" s="331"/>
      <c r="O30" s="331"/>
      <c r="P30" s="334"/>
      <c r="Q30" s="331"/>
      <c r="R30" s="374"/>
      <c r="S30" s="334"/>
      <c r="T30" s="90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46" s="5" customFormat="1" ht="15" customHeight="1" thickTop="1" x14ac:dyDescent="0.3">
      <c r="A31" s="386">
        <v>46119</v>
      </c>
      <c r="B31" s="344">
        <v>94218</v>
      </c>
      <c r="C31" s="268"/>
      <c r="D31" s="344" t="s">
        <v>87</v>
      </c>
      <c r="E31" s="344">
        <v>571801</v>
      </c>
      <c r="F31" s="404" t="s">
        <v>95</v>
      </c>
      <c r="G31" s="143" t="s">
        <v>4</v>
      </c>
      <c r="H31" s="319">
        <f>A31+I31</f>
        <v>46119</v>
      </c>
      <c r="I31" s="238"/>
      <c r="J31" s="326"/>
      <c r="K31" s="327"/>
      <c r="L31" s="293"/>
      <c r="M31" s="106"/>
      <c r="N31" s="341">
        <v>4.5</v>
      </c>
      <c r="O31" s="341">
        <v>4</v>
      </c>
      <c r="P31" s="378" t="str">
        <f>IF(OR(ISBLANK(N31)),"",IF(AND(N31&lt;=5, 7&gt;=3),"Pass","Fail"))</f>
        <v>Pass</v>
      </c>
      <c r="Q31" s="341">
        <v>1.6</v>
      </c>
      <c r="R31" s="341">
        <v>1.3</v>
      </c>
      <c r="S31" s="378" t="s">
        <v>85</v>
      </c>
      <c r="T31" s="328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T31" s="6"/>
    </row>
    <row r="32" spans="1:46" s="5" customFormat="1" ht="15" customHeight="1" x14ac:dyDescent="0.3">
      <c r="A32" s="387"/>
      <c r="B32" s="345"/>
      <c r="C32" s="220" t="s">
        <v>97</v>
      </c>
      <c r="D32" s="345"/>
      <c r="E32" s="345"/>
      <c r="F32" s="486"/>
      <c r="G32" s="145" t="s">
        <v>5</v>
      </c>
      <c r="H32" s="184">
        <f>A31+I32</f>
        <v>46119</v>
      </c>
      <c r="I32" s="230"/>
      <c r="J32" s="322"/>
      <c r="K32" s="325"/>
      <c r="L32" s="295"/>
      <c r="M32" s="106" t="str">
        <f>IF(OR(J32&gt;=L32, ISBLANK(J32)),"Pass","Fail")</f>
        <v>Pass</v>
      </c>
      <c r="N32" s="342"/>
      <c r="O32" s="342"/>
      <c r="P32" s="339"/>
      <c r="Q32" s="342"/>
      <c r="R32" s="342"/>
      <c r="S32" s="339"/>
      <c r="T32" s="260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T32" s="6"/>
    </row>
    <row r="33" spans="1:46" s="5" customFormat="1" ht="15" customHeight="1" thickBot="1" x14ac:dyDescent="0.35">
      <c r="A33" s="388"/>
      <c r="B33" s="364"/>
      <c r="C33" s="221"/>
      <c r="D33" s="364"/>
      <c r="E33" s="364"/>
      <c r="F33" s="487"/>
      <c r="G33" s="107" t="s">
        <v>42</v>
      </c>
      <c r="H33" s="233">
        <f>A31+I33</f>
        <v>46119</v>
      </c>
      <c r="I33" s="234"/>
      <c r="J33" s="322"/>
      <c r="K33" s="325"/>
      <c r="L33" s="301"/>
      <c r="M33" s="109" t="str">
        <f>IF(OR(J33&gt;=L33, ISBLANK(J33)),"Pass","Fail")</f>
        <v>Pass</v>
      </c>
      <c r="N33" s="343"/>
      <c r="O33" s="343"/>
      <c r="P33" s="340"/>
      <c r="Q33" s="343"/>
      <c r="R33" s="343"/>
      <c r="S33" s="340"/>
      <c r="T33" s="260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T33" s="6"/>
    </row>
    <row r="34" spans="1:46" s="5" customFormat="1" ht="15" customHeight="1" thickTop="1" x14ac:dyDescent="0.3">
      <c r="A34" s="357">
        <v>46120</v>
      </c>
      <c r="B34" s="350"/>
      <c r="C34" s="267"/>
      <c r="D34" s="350" t="s">
        <v>87</v>
      </c>
      <c r="E34" s="350">
        <v>572648</v>
      </c>
      <c r="F34" s="407" t="s">
        <v>96</v>
      </c>
      <c r="G34" s="37" t="s">
        <v>4</v>
      </c>
      <c r="H34" s="62">
        <f>A34+I34</f>
        <v>46127</v>
      </c>
      <c r="I34" s="236">
        <v>7</v>
      </c>
      <c r="J34" s="297"/>
      <c r="K34" s="315"/>
      <c r="L34" s="213"/>
      <c r="M34" s="93"/>
      <c r="N34" s="372"/>
      <c r="O34" s="329">
        <v>3.5</v>
      </c>
      <c r="P34" s="332" t="str">
        <f t="shared" ref="P34" si="0">IF(OR(ISBLANK(N34)),"",IF(AND(N34&lt;=5, 7&gt;=3),"Pass","Fail"))</f>
        <v/>
      </c>
      <c r="Q34" s="329"/>
      <c r="R34" s="329">
        <v>1.4</v>
      </c>
      <c r="S34" s="332" t="str">
        <f>IF(Q34="","",
   IF(OR(E34=572648,E34=57180),
      IF(Q34&lt;=3,"PASS","FAIL"),
      IF(AND(Q34&gt;=3.8,B31&lt;=6.2),"PASS","FAIL")
   )
)</f>
        <v/>
      </c>
      <c r="T34" s="45"/>
    </row>
    <row r="35" spans="1:46" s="5" customFormat="1" ht="15" customHeight="1" x14ac:dyDescent="0.3">
      <c r="A35" s="358"/>
      <c r="B35" s="351"/>
      <c r="C35" s="265" t="s">
        <v>98</v>
      </c>
      <c r="D35" s="351"/>
      <c r="E35" s="351"/>
      <c r="F35" s="408"/>
      <c r="G35" s="101" t="s">
        <v>5</v>
      </c>
      <c r="H35" s="122">
        <f>A34+I35</f>
        <v>46148</v>
      </c>
      <c r="I35" s="225">
        <v>28</v>
      </c>
      <c r="J35" s="298"/>
      <c r="K35" s="125"/>
      <c r="L35" s="214"/>
      <c r="M35" s="93" t="str">
        <f t="shared" ref="M35:M36" si="1">IF(OR(J35&gt;=L35, ISBLANK(J35)),"Pass","Fail")</f>
        <v>Pass</v>
      </c>
      <c r="N35" s="373"/>
      <c r="O35" s="330"/>
      <c r="P35" s="333"/>
      <c r="Q35" s="330"/>
      <c r="R35" s="330"/>
      <c r="S35" s="333"/>
      <c r="T35" s="101"/>
    </row>
    <row r="36" spans="1:46" s="5" customFormat="1" ht="15" customHeight="1" thickBot="1" x14ac:dyDescent="0.35">
      <c r="A36" s="359"/>
      <c r="B36" s="352"/>
      <c r="C36" s="266"/>
      <c r="D36" s="352"/>
      <c r="E36" s="352"/>
      <c r="F36" s="409"/>
      <c r="G36" s="50" t="s">
        <v>42</v>
      </c>
      <c r="H36" s="87">
        <f>A34+I36</f>
        <v>46148</v>
      </c>
      <c r="I36" s="237">
        <v>28</v>
      </c>
      <c r="J36" s="299"/>
      <c r="K36" s="237"/>
      <c r="L36" s="205"/>
      <c r="M36" s="81" t="str">
        <f t="shared" si="1"/>
        <v>Pass</v>
      </c>
      <c r="N36" s="374"/>
      <c r="O36" s="331"/>
      <c r="P36" s="334"/>
      <c r="Q36" s="331"/>
      <c r="R36" s="331"/>
      <c r="S36" s="334"/>
      <c r="T36" s="50"/>
    </row>
    <row r="37" spans="1:46" s="6" customFormat="1" ht="15" customHeight="1" thickTop="1" x14ac:dyDescent="0.3">
      <c r="A37" s="386">
        <v>46120</v>
      </c>
      <c r="B37" s="410"/>
      <c r="C37" s="269"/>
      <c r="D37" s="344" t="s">
        <v>87</v>
      </c>
      <c r="E37" s="410">
        <v>571801</v>
      </c>
      <c r="F37" s="404" t="s">
        <v>100</v>
      </c>
      <c r="G37" s="9" t="s">
        <v>4</v>
      </c>
      <c r="H37" s="18">
        <f>A37+I37</f>
        <v>46120</v>
      </c>
      <c r="I37" s="238"/>
      <c r="J37" s="300"/>
      <c r="K37" s="243"/>
      <c r="L37" s="289"/>
      <c r="M37" s="79"/>
      <c r="N37" s="375"/>
      <c r="O37" s="341">
        <v>4</v>
      </c>
      <c r="P37" s="338" t="str">
        <f t="shared" ref="P37" si="2">IF(OR(ISBLANK(N37)),"",IF(AND(N37&lt;=5, 7&gt;=3),"Pass","Fail"))</f>
        <v/>
      </c>
      <c r="Q37" s="341"/>
      <c r="R37" s="341">
        <v>1.4</v>
      </c>
      <c r="S37" s="338" t="str">
        <f>IF(Q37="","",
   IF(OR(E37=572648,E37=57180),
      IF(Q37&lt;=3,"PASS","FAIL"),
      IF(AND(Q37&gt;=3.8,#REF!&lt;=6.2),"PASS","FAIL")
   )
)</f>
        <v/>
      </c>
      <c r="T37" s="244"/>
    </row>
    <row r="38" spans="1:46" s="6" customFormat="1" ht="15" customHeight="1" x14ac:dyDescent="0.3">
      <c r="A38" s="387"/>
      <c r="B38" s="411"/>
      <c r="C38" s="222" t="s">
        <v>99</v>
      </c>
      <c r="D38" s="345"/>
      <c r="E38" s="411"/>
      <c r="F38" s="486"/>
      <c r="G38" s="105" t="s">
        <v>5</v>
      </c>
      <c r="H38" s="159">
        <f>A37+I38</f>
        <v>46120</v>
      </c>
      <c r="I38" s="230"/>
      <c r="J38" s="295"/>
      <c r="K38" s="245"/>
      <c r="L38" s="291"/>
      <c r="M38" s="106" t="str">
        <f t="shared" ref="M38:M39" si="3">IF(OR(J38&gt;=L38, ISBLANK(J38)),"Pass","Fail")</f>
        <v>Pass</v>
      </c>
      <c r="N38" s="376"/>
      <c r="O38" s="342"/>
      <c r="P38" s="339"/>
      <c r="Q38" s="342"/>
      <c r="R38" s="342"/>
      <c r="S38" s="339"/>
      <c r="T38" s="246"/>
    </row>
    <row r="39" spans="1:46" s="6" customFormat="1" ht="15" customHeight="1" thickBot="1" x14ac:dyDescent="0.35">
      <c r="A39" s="387"/>
      <c r="B39" s="411"/>
      <c r="C39" s="222"/>
      <c r="D39" s="345"/>
      <c r="E39" s="411"/>
      <c r="F39" s="486"/>
      <c r="G39" s="107" t="s">
        <v>42</v>
      </c>
      <c r="H39" s="59">
        <f>A37+I39</f>
        <v>46120</v>
      </c>
      <c r="I39" s="234"/>
      <c r="J39" s="301"/>
      <c r="K39" s="247"/>
      <c r="L39" s="292"/>
      <c r="M39" s="109" t="str">
        <f t="shared" si="3"/>
        <v>Pass</v>
      </c>
      <c r="N39" s="377"/>
      <c r="O39" s="343"/>
      <c r="P39" s="340"/>
      <c r="Q39" s="343"/>
      <c r="R39" s="343"/>
      <c r="S39" s="340"/>
      <c r="T39" s="248"/>
    </row>
    <row r="40" spans="1:46" s="5" customFormat="1" ht="15" customHeight="1" thickTop="1" x14ac:dyDescent="0.3">
      <c r="A40" s="357"/>
      <c r="B40" s="350"/>
      <c r="C40" s="267"/>
      <c r="D40" s="350"/>
      <c r="E40" s="350"/>
      <c r="F40" s="360"/>
      <c r="G40" s="37" t="s">
        <v>4</v>
      </c>
      <c r="H40" s="62">
        <f>A40+I40</f>
        <v>0</v>
      </c>
      <c r="I40" s="236"/>
      <c r="J40" s="207"/>
      <c r="K40" s="152"/>
      <c r="L40" s="213"/>
      <c r="M40" s="93"/>
      <c r="N40" s="372"/>
      <c r="O40" s="372"/>
      <c r="P40" s="332" t="str">
        <f t="shared" ref="P40" si="4">IF(OR(ISBLANK(N40)),"",IF(AND(N40&lt;=5, 7&gt;=3),"Pass","Fail"))</f>
        <v/>
      </c>
      <c r="Q40" s="329"/>
      <c r="R40" s="329"/>
      <c r="S40" s="332" t="str">
        <f>IF(Q40="","",
   IF(OR(E40=572648,E40=57180),
      IF(Q40&lt;=3,"PASS","FAIL"),
      IF(AND(Q40&gt;=3.8,B34&lt;=6.2),"PASS","FAIL")
   )
)</f>
        <v/>
      </c>
      <c r="T40" s="49"/>
    </row>
    <row r="41" spans="1:46" s="5" customFormat="1" ht="15" customHeight="1" x14ac:dyDescent="0.3">
      <c r="A41" s="358"/>
      <c r="B41" s="351"/>
      <c r="C41" s="265"/>
      <c r="D41" s="351"/>
      <c r="E41" s="351"/>
      <c r="F41" s="361"/>
      <c r="G41" s="101" t="s">
        <v>5</v>
      </c>
      <c r="H41" s="122">
        <f>A40+I41</f>
        <v>0</v>
      </c>
      <c r="I41" s="225"/>
      <c r="J41" s="198"/>
      <c r="K41" s="173"/>
      <c r="L41" s="214"/>
      <c r="M41" s="93" t="str">
        <f t="shared" ref="M41:M42" si="5">IF(OR(J41&gt;=L41, ISBLANK(J41)),"Pass","Fail")</f>
        <v>Pass</v>
      </c>
      <c r="N41" s="373"/>
      <c r="O41" s="373"/>
      <c r="P41" s="333"/>
      <c r="Q41" s="330"/>
      <c r="R41" s="330"/>
      <c r="S41" s="333"/>
      <c r="T41" s="92"/>
    </row>
    <row r="42" spans="1:46" s="5" customFormat="1" ht="15" customHeight="1" thickBot="1" x14ac:dyDescent="0.35">
      <c r="A42" s="358"/>
      <c r="B42" s="351"/>
      <c r="C42" s="265"/>
      <c r="D42" s="351"/>
      <c r="E42" s="352"/>
      <c r="F42" s="361"/>
      <c r="G42" s="41" t="s">
        <v>42</v>
      </c>
      <c r="H42" s="122">
        <f>A40+I42</f>
        <v>0</v>
      </c>
      <c r="I42" s="237"/>
      <c r="J42" s="299"/>
      <c r="K42" s="278"/>
      <c r="L42" s="205"/>
      <c r="M42" s="81" t="str">
        <f t="shared" si="5"/>
        <v>Pass</v>
      </c>
      <c r="N42" s="374"/>
      <c r="O42" s="374"/>
      <c r="P42" s="334"/>
      <c r="Q42" s="331"/>
      <c r="R42" s="331"/>
      <c r="S42" s="334"/>
      <c r="T42" s="54"/>
    </row>
    <row r="43" spans="1:46" ht="13.5" customHeight="1" thickTop="1" x14ac:dyDescent="0.3">
      <c r="A43" s="386"/>
      <c r="B43" s="344"/>
      <c r="C43" s="268"/>
      <c r="D43" s="344"/>
      <c r="E43" s="410"/>
      <c r="F43" s="344"/>
      <c r="G43" s="27" t="s">
        <v>4</v>
      </c>
      <c r="H43" s="159">
        <f>A43+I43</f>
        <v>0</v>
      </c>
      <c r="I43" s="238"/>
      <c r="J43" s="300"/>
      <c r="K43" s="251"/>
      <c r="L43" s="289"/>
      <c r="M43" s="79"/>
      <c r="N43" s="375"/>
      <c r="O43" s="375"/>
      <c r="P43" s="338" t="str">
        <f t="shared" ref="P43" si="6">IF(OR(ISBLANK(N43)),"",IF(AND(N43&lt;=5, 7&gt;=3),"Pass","Fail"))</f>
        <v/>
      </c>
      <c r="Q43" s="341"/>
      <c r="R43" s="341"/>
      <c r="S43" s="338" t="str">
        <f>IF(Q43="","",
   IF(OR(E43=572648,E43=57180),
      IF(Q43&lt;=3,"PASS","FAIL"),
      IF(AND(Q43&gt;=3.8,B37&lt;=6.2),"PASS","FAIL")
   )
)</f>
        <v/>
      </c>
      <c r="T43" s="249"/>
    </row>
    <row r="44" spans="1:46" ht="13" x14ac:dyDescent="0.3">
      <c r="A44" s="387"/>
      <c r="B44" s="345"/>
      <c r="C44" s="220"/>
      <c r="D44" s="345"/>
      <c r="E44" s="411"/>
      <c r="F44" s="345"/>
      <c r="G44" s="105" t="s">
        <v>5</v>
      </c>
      <c r="H44" s="159">
        <f>A43+I44</f>
        <v>0</v>
      </c>
      <c r="I44" s="230"/>
      <c r="J44" s="290"/>
      <c r="K44" s="253"/>
      <c r="L44" s="290"/>
      <c r="M44" s="106" t="str">
        <f t="shared" ref="M44:M45" si="7">IF(OR(J44&gt;=L44, ISBLANK(J44)),"Pass","Fail")</f>
        <v>Pass</v>
      </c>
      <c r="N44" s="376"/>
      <c r="O44" s="376"/>
      <c r="P44" s="339"/>
      <c r="Q44" s="342"/>
      <c r="R44" s="342"/>
      <c r="S44" s="339"/>
      <c r="T44" s="242"/>
    </row>
    <row r="45" spans="1:46" ht="12" customHeight="1" thickBot="1" x14ac:dyDescent="0.35">
      <c r="A45" s="387"/>
      <c r="B45" s="345"/>
      <c r="C45" s="220"/>
      <c r="D45" s="345"/>
      <c r="E45" s="411"/>
      <c r="F45" s="345"/>
      <c r="G45" s="107" t="s">
        <v>42</v>
      </c>
      <c r="H45" s="59">
        <f>A43+I45</f>
        <v>0</v>
      </c>
      <c r="I45" s="107"/>
      <c r="J45" s="290"/>
      <c r="K45" s="224"/>
      <c r="L45" s="302"/>
      <c r="M45" s="109" t="str">
        <f t="shared" si="7"/>
        <v>Pass</v>
      </c>
      <c r="N45" s="377"/>
      <c r="O45" s="377"/>
      <c r="P45" s="340"/>
      <c r="Q45" s="343"/>
      <c r="R45" s="343"/>
      <c r="S45" s="340"/>
      <c r="T45" s="147"/>
    </row>
    <row r="46" spans="1:46" s="96" customFormat="1" ht="15.75" customHeight="1" thickTop="1" x14ac:dyDescent="0.3">
      <c r="A46" s="357"/>
      <c r="B46" s="350"/>
      <c r="C46" s="267"/>
      <c r="D46" s="350"/>
      <c r="E46" s="350"/>
      <c r="F46" s="360"/>
      <c r="G46" s="37" t="s">
        <v>4</v>
      </c>
      <c r="H46" s="62">
        <f>A46+I46</f>
        <v>0</v>
      </c>
      <c r="I46" s="236"/>
      <c r="J46" s="207"/>
      <c r="K46" s="152"/>
      <c r="L46" s="213"/>
      <c r="M46" s="93"/>
      <c r="N46" s="366"/>
      <c r="O46" s="372"/>
      <c r="P46" s="332" t="str">
        <f t="shared" ref="P46" si="8">IF(OR(ISBLANK(N46)),"",IF(AND(N46&lt;=5, 7&gt;=3),"Pass","Fail"))</f>
        <v/>
      </c>
      <c r="Q46" s="329"/>
      <c r="R46" s="329"/>
      <c r="S46" s="332" t="str">
        <f>IF(Q46="","",
   IF(OR(E46=572648,E46=57180),
      IF(Q46&lt;=3,"PASS","FAIL"),
      IF(AND(Q46&gt;=3.8,B40&lt;=6.2),"PASS","FAIL")
   )
)</f>
        <v/>
      </c>
      <c r="T46" s="65"/>
    </row>
    <row r="47" spans="1:46" s="96" customFormat="1" ht="15.75" customHeight="1" x14ac:dyDescent="0.3">
      <c r="A47" s="358"/>
      <c r="B47" s="351"/>
      <c r="C47" s="265"/>
      <c r="D47" s="351"/>
      <c r="E47" s="351"/>
      <c r="F47" s="361"/>
      <c r="G47" s="101" t="s">
        <v>5</v>
      </c>
      <c r="H47" s="122">
        <f>A46+I47</f>
        <v>0</v>
      </c>
      <c r="I47" s="225"/>
      <c r="J47" s="198"/>
      <c r="K47" s="173"/>
      <c r="L47" s="214"/>
      <c r="M47" s="93" t="str">
        <f t="shared" ref="M47:M48" si="9">IF(OR(J47&gt;=L47, ISBLANK(J47)),"Pass","Fail")</f>
        <v>Pass</v>
      </c>
      <c r="N47" s="367"/>
      <c r="O47" s="373"/>
      <c r="P47" s="333"/>
      <c r="Q47" s="330"/>
      <c r="R47" s="330"/>
      <c r="S47" s="333"/>
      <c r="T47" s="161"/>
    </row>
    <row r="48" spans="1:46" s="96" customFormat="1" ht="15.75" customHeight="1" thickBot="1" x14ac:dyDescent="0.35">
      <c r="A48" s="358"/>
      <c r="B48" s="351"/>
      <c r="C48" s="265"/>
      <c r="D48" s="351"/>
      <c r="E48" s="352"/>
      <c r="F48" s="361"/>
      <c r="G48" s="41" t="s">
        <v>42</v>
      </c>
      <c r="H48" s="122">
        <f>A46+I48</f>
        <v>0</v>
      </c>
      <c r="I48" s="237"/>
      <c r="J48" s="198"/>
      <c r="K48" s="278"/>
      <c r="L48" s="205"/>
      <c r="M48" s="81" t="str">
        <f t="shared" si="9"/>
        <v>Pass</v>
      </c>
      <c r="N48" s="368"/>
      <c r="O48" s="374"/>
      <c r="P48" s="334"/>
      <c r="Q48" s="331"/>
      <c r="R48" s="331"/>
      <c r="S48" s="334"/>
      <c r="T48" s="161"/>
    </row>
    <row r="49" spans="1:21" ht="13.5" customHeight="1" thickTop="1" x14ac:dyDescent="0.3">
      <c r="A49" s="386"/>
      <c r="B49" s="344"/>
      <c r="C49" s="268"/>
      <c r="D49" s="344"/>
      <c r="E49" s="344"/>
      <c r="F49" s="346"/>
      <c r="G49" s="27" t="s">
        <v>4</v>
      </c>
      <c r="H49" s="159">
        <f>A49+I49</f>
        <v>0</v>
      </c>
      <c r="I49" s="238"/>
      <c r="J49" s="300"/>
      <c r="K49" s="251"/>
      <c r="L49" s="289"/>
      <c r="M49" s="79"/>
      <c r="N49" s="335"/>
      <c r="O49" s="375"/>
      <c r="P49" s="338" t="str">
        <f t="shared" ref="P49" si="10">IF(OR(ISBLANK(N49)),"",IF(AND(N49&lt;=5, 7&gt;=3),"Pass","Fail"))</f>
        <v/>
      </c>
      <c r="Q49" s="341"/>
      <c r="R49" s="341"/>
      <c r="S49" s="338" t="str">
        <f>IF(Q49="","",
   IF(OR(E49=572648,E49=57180),
      IF(Q49&lt;=3,"PASS","FAIL"),
      IF(AND(Q49&gt;=3.8,B43&lt;=6.2),"PASS","FAIL")
   )
)</f>
        <v/>
      </c>
      <c r="T49" s="249"/>
      <c r="U49" s="365"/>
    </row>
    <row r="50" spans="1:21" ht="15" customHeight="1" x14ac:dyDescent="0.3">
      <c r="A50" s="387"/>
      <c r="B50" s="345"/>
      <c r="C50" s="220"/>
      <c r="D50" s="345"/>
      <c r="E50" s="345"/>
      <c r="F50" s="347"/>
      <c r="G50" s="105" t="s">
        <v>5</v>
      </c>
      <c r="H50" s="159">
        <f>A49+I50</f>
        <v>0</v>
      </c>
      <c r="I50" s="230"/>
      <c r="J50" s="290"/>
      <c r="K50" s="253"/>
      <c r="L50" s="291"/>
      <c r="M50" s="106" t="str">
        <f t="shared" ref="M50:M51" si="11">IF(OR(J50&gt;=L50, ISBLANK(J50)),"Pass","Fail")</f>
        <v>Pass</v>
      </c>
      <c r="N50" s="336"/>
      <c r="O50" s="376"/>
      <c r="P50" s="339"/>
      <c r="Q50" s="342"/>
      <c r="R50" s="342"/>
      <c r="S50" s="339"/>
      <c r="T50" s="242"/>
      <c r="U50" s="365"/>
    </row>
    <row r="51" spans="1:21" ht="15" customHeight="1" thickBot="1" x14ac:dyDescent="0.35">
      <c r="A51" s="388"/>
      <c r="B51" s="364"/>
      <c r="C51" s="221"/>
      <c r="D51" s="364"/>
      <c r="E51" s="364"/>
      <c r="F51" s="385"/>
      <c r="G51" s="107" t="s">
        <v>42</v>
      </c>
      <c r="H51" s="59">
        <f>A49+I51</f>
        <v>0</v>
      </c>
      <c r="I51" s="234"/>
      <c r="J51" s="301"/>
      <c r="K51" s="247"/>
      <c r="L51" s="292"/>
      <c r="M51" s="109" t="str">
        <f t="shared" si="11"/>
        <v>Pass</v>
      </c>
      <c r="N51" s="337"/>
      <c r="O51" s="377"/>
      <c r="P51" s="340"/>
      <c r="Q51" s="343"/>
      <c r="R51" s="343"/>
      <c r="S51" s="340"/>
      <c r="T51" s="147"/>
      <c r="U51" s="429"/>
    </row>
    <row r="52" spans="1:21" s="96" customFormat="1" ht="13.5" customHeight="1" thickTop="1" x14ac:dyDescent="0.3">
      <c r="A52" s="412"/>
      <c r="B52" s="351"/>
      <c r="C52" s="265"/>
      <c r="D52" s="351"/>
      <c r="E52" s="350"/>
      <c r="F52" s="361"/>
      <c r="G52" s="37" t="s">
        <v>4</v>
      </c>
      <c r="H52" s="62">
        <f>A52+I52</f>
        <v>0</v>
      </c>
      <c r="I52" s="236"/>
      <c r="J52" s="207"/>
      <c r="K52" s="152"/>
      <c r="L52" s="213"/>
      <c r="M52" s="93"/>
      <c r="N52" s="372"/>
      <c r="O52" s="372"/>
      <c r="P52" s="332" t="str">
        <f t="shared" ref="P52" si="12">IF(OR(ISBLANK(N52)),"",IF(AND(N52&lt;=5, 7&gt;=3),"Pass","Fail"))</f>
        <v/>
      </c>
      <c r="Q52" s="329"/>
      <c r="R52" s="329"/>
      <c r="S52" s="332" t="str">
        <f>IF(Q52="","",
   IF(OR(E52=572648,E52=57180),
      IF(Q52&lt;=3,"PASS","FAIL"),
      IF(AND(Q52&gt;=3.8,B46&lt;=6.2),"PASS","FAIL")
   )
)</f>
        <v/>
      </c>
      <c r="T52" s="65"/>
      <c r="U52" s="426"/>
    </row>
    <row r="53" spans="1:21" s="96" customFormat="1" ht="13" x14ac:dyDescent="0.3">
      <c r="A53" s="412"/>
      <c r="B53" s="351"/>
      <c r="C53" s="265"/>
      <c r="D53" s="351"/>
      <c r="E53" s="351"/>
      <c r="F53" s="361"/>
      <c r="G53" s="101" t="s">
        <v>5</v>
      </c>
      <c r="H53" s="122">
        <f>A52+I53</f>
        <v>0</v>
      </c>
      <c r="I53" s="225"/>
      <c r="J53" s="198"/>
      <c r="K53" s="173"/>
      <c r="L53" s="214"/>
      <c r="M53" s="93" t="str">
        <f t="shared" ref="M53:M54" si="13">IF(OR(J53&gt;=L53, ISBLANK(J53)),"Pass","Fail")</f>
        <v>Pass</v>
      </c>
      <c r="N53" s="373"/>
      <c r="O53" s="373"/>
      <c r="P53" s="333"/>
      <c r="Q53" s="330"/>
      <c r="R53" s="330"/>
      <c r="S53" s="333"/>
      <c r="T53" s="161"/>
      <c r="U53" s="427"/>
    </row>
    <row r="54" spans="1:21" s="96" customFormat="1" ht="13.5" thickBot="1" x14ac:dyDescent="0.35">
      <c r="A54" s="412"/>
      <c r="B54" s="351"/>
      <c r="C54" s="265"/>
      <c r="D54" s="351"/>
      <c r="E54" s="352"/>
      <c r="F54" s="361"/>
      <c r="G54" s="41" t="s">
        <v>42</v>
      </c>
      <c r="H54" s="122">
        <f>A52+I54</f>
        <v>0</v>
      </c>
      <c r="I54" s="237"/>
      <c r="J54" s="299"/>
      <c r="K54" s="278"/>
      <c r="L54" s="205"/>
      <c r="M54" s="81" t="str">
        <f t="shared" si="13"/>
        <v>Pass</v>
      </c>
      <c r="N54" s="374"/>
      <c r="O54" s="374"/>
      <c r="P54" s="334"/>
      <c r="Q54" s="331"/>
      <c r="R54" s="331"/>
      <c r="S54" s="334"/>
      <c r="T54" s="161"/>
      <c r="U54" s="428"/>
    </row>
    <row r="55" spans="1:21" ht="13.5" customHeight="1" thickTop="1" x14ac:dyDescent="0.3">
      <c r="A55" s="386"/>
      <c r="B55" s="344"/>
      <c r="C55" s="268"/>
      <c r="D55" s="344"/>
      <c r="E55" s="344"/>
      <c r="F55" s="346"/>
      <c r="G55" s="27" t="s">
        <v>4</v>
      </c>
      <c r="H55" s="159">
        <f>A55+I55</f>
        <v>0</v>
      </c>
      <c r="I55" s="238"/>
      <c r="J55" s="300"/>
      <c r="K55" s="251"/>
      <c r="L55" s="289"/>
      <c r="M55" s="79"/>
      <c r="N55" s="335"/>
      <c r="O55" s="375"/>
      <c r="P55" s="338" t="str">
        <f t="shared" ref="P55" si="14">IF(OR(ISBLANK(N55)),"",IF(AND(N55&lt;=5, 7&gt;=3),"Pass","Fail"))</f>
        <v/>
      </c>
      <c r="Q55" s="341"/>
      <c r="R55" s="341"/>
      <c r="S55" s="338" t="str">
        <f>IF(Q55="","",
   IF(OR(E55=572648,E55=57180),
      IF(Q55&lt;=3,"PASS","FAIL"),
      IF(AND(Q55&gt;=3.8,B49&lt;=6.2),"PASS","FAIL")
   )
)</f>
        <v/>
      </c>
      <c r="T55" s="144"/>
    </row>
    <row r="56" spans="1:21" ht="13" x14ac:dyDescent="0.3">
      <c r="A56" s="387"/>
      <c r="B56" s="345"/>
      <c r="C56" s="220"/>
      <c r="D56" s="345"/>
      <c r="E56" s="345"/>
      <c r="F56" s="347"/>
      <c r="G56" s="105" t="s">
        <v>5</v>
      </c>
      <c r="H56" s="159">
        <f>A55+I56</f>
        <v>0</v>
      </c>
      <c r="I56" s="230"/>
      <c r="J56" s="290"/>
      <c r="K56" s="253"/>
      <c r="L56" s="291"/>
      <c r="M56" s="106" t="str">
        <f t="shared" ref="M56:M57" si="15">IF(OR(J56&gt;=L56, ISBLANK(J56)),"Pass","Fail")</f>
        <v>Pass</v>
      </c>
      <c r="N56" s="336"/>
      <c r="O56" s="376"/>
      <c r="P56" s="339"/>
      <c r="Q56" s="342"/>
      <c r="R56" s="342"/>
      <c r="S56" s="339"/>
      <c r="T56" s="146"/>
    </row>
    <row r="57" spans="1:21" ht="13.5" thickBot="1" x14ac:dyDescent="0.35">
      <c r="A57" s="387"/>
      <c r="B57" s="345"/>
      <c r="C57" s="220"/>
      <c r="D57" s="345"/>
      <c r="E57" s="345"/>
      <c r="F57" s="347"/>
      <c r="G57" s="107" t="s">
        <v>42</v>
      </c>
      <c r="H57" s="59">
        <f>A55+I57</f>
        <v>0</v>
      </c>
      <c r="I57" s="234"/>
      <c r="J57" s="301"/>
      <c r="K57" s="247"/>
      <c r="L57" s="292"/>
      <c r="M57" s="109" t="str">
        <f t="shared" si="15"/>
        <v>Pass</v>
      </c>
      <c r="N57" s="337"/>
      <c r="O57" s="377"/>
      <c r="P57" s="340"/>
      <c r="Q57" s="343"/>
      <c r="R57" s="343"/>
      <c r="S57" s="340"/>
      <c r="T57" s="242"/>
    </row>
    <row r="58" spans="1:21" s="96" customFormat="1" ht="13.5" thickTop="1" x14ac:dyDescent="0.3">
      <c r="A58" s="357"/>
      <c r="B58" s="350"/>
      <c r="C58" s="267"/>
      <c r="D58" s="350"/>
      <c r="E58" s="350"/>
      <c r="F58" s="360"/>
      <c r="G58" s="37" t="s">
        <v>4</v>
      </c>
      <c r="H58" s="62">
        <f>A58+I58</f>
        <v>0</v>
      </c>
      <c r="I58" s="236"/>
      <c r="J58" s="207"/>
      <c r="K58" s="152"/>
      <c r="L58" s="213"/>
      <c r="M58" s="93"/>
      <c r="N58" s="366"/>
      <c r="O58" s="366"/>
      <c r="P58" s="332" t="str">
        <f t="shared" ref="P58" si="16">IF(OR(ISBLANK(N58)),"",IF(AND(N58&lt;=5, 7&gt;=3),"Pass","Fail"))</f>
        <v/>
      </c>
      <c r="Q58" s="329"/>
      <c r="R58" s="329"/>
      <c r="S58" s="332" t="str">
        <f>IF(Q58="","",
   IF(OR(E58=572648,E58=57180),
      IF(Q58&lt;=3,"PASS","FAIL"),
      IF(AND(Q58&gt;=3.8,B52&lt;=6.2),"PASS","FAIL")
   )
)</f>
        <v/>
      </c>
      <c r="T58" s="65"/>
    </row>
    <row r="59" spans="1:21" s="96" customFormat="1" ht="13" x14ac:dyDescent="0.3">
      <c r="A59" s="358"/>
      <c r="B59" s="351"/>
      <c r="C59" s="265"/>
      <c r="D59" s="351"/>
      <c r="E59" s="351"/>
      <c r="F59" s="361"/>
      <c r="G59" s="101" t="s">
        <v>5</v>
      </c>
      <c r="H59" s="122">
        <f>A58+I59</f>
        <v>0</v>
      </c>
      <c r="I59" s="225"/>
      <c r="J59" s="198"/>
      <c r="K59" s="173"/>
      <c r="L59" s="214"/>
      <c r="M59" s="93" t="str">
        <f t="shared" ref="M59:M60" si="17">IF(OR(J59&gt;=L59, ISBLANK(J59)),"Pass","Fail")</f>
        <v>Pass</v>
      </c>
      <c r="N59" s="367"/>
      <c r="O59" s="367"/>
      <c r="P59" s="333"/>
      <c r="Q59" s="330"/>
      <c r="R59" s="330"/>
      <c r="S59" s="333"/>
      <c r="T59" s="65"/>
    </row>
    <row r="60" spans="1:21" s="96" customFormat="1" ht="13.5" thickBot="1" x14ac:dyDescent="0.35">
      <c r="A60" s="358"/>
      <c r="B60" s="351"/>
      <c r="C60" s="265"/>
      <c r="D60" s="351"/>
      <c r="E60" s="351"/>
      <c r="F60" s="361"/>
      <c r="G60" s="41" t="s">
        <v>42</v>
      </c>
      <c r="H60" s="122">
        <f>A58+I60</f>
        <v>0</v>
      </c>
      <c r="I60" s="237"/>
      <c r="J60" s="198"/>
      <c r="K60" s="278"/>
      <c r="L60" s="205"/>
      <c r="M60" s="81" t="str">
        <f t="shared" si="17"/>
        <v>Pass</v>
      </c>
      <c r="N60" s="368"/>
      <c r="O60" s="368"/>
      <c r="P60" s="334"/>
      <c r="Q60" s="331"/>
      <c r="R60" s="331"/>
      <c r="S60" s="334"/>
      <c r="T60" s="250"/>
    </row>
    <row r="61" spans="1:21" ht="13.5" thickTop="1" x14ac:dyDescent="0.3">
      <c r="A61" s="386"/>
      <c r="B61" s="344"/>
      <c r="C61" s="268"/>
      <c r="D61" s="344"/>
      <c r="E61" s="344"/>
      <c r="F61" s="346"/>
      <c r="G61" s="27" t="s">
        <v>4</v>
      </c>
      <c r="H61" s="159">
        <f>A61+I61</f>
        <v>0</v>
      </c>
      <c r="I61" s="238"/>
      <c r="J61" s="300"/>
      <c r="K61" s="253"/>
      <c r="L61" s="289"/>
      <c r="M61" s="79"/>
      <c r="N61" s="335"/>
      <c r="O61" s="335"/>
      <c r="P61" s="338" t="str">
        <f t="shared" ref="P61" si="18">IF(OR(ISBLANK(N61)),"",IF(AND(N61&lt;=5, 7&gt;=3),"Pass","Fail"))</f>
        <v/>
      </c>
      <c r="Q61" s="341"/>
      <c r="R61" s="341"/>
      <c r="S61" s="338" t="str">
        <f>IF(Q61="","",
   IF(OR(E61=572648,E61=57180),
      IF(Q61&lt;=3,"PASS","FAIL"),
      IF(AND(Q61&gt;=3.8,B55&lt;=6.2),"PASS","FAIL")
   )
)</f>
        <v/>
      </c>
      <c r="T61" s="249"/>
    </row>
    <row r="62" spans="1:21" ht="15" customHeight="1" x14ac:dyDescent="0.3">
      <c r="A62" s="387"/>
      <c r="B62" s="345"/>
      <c r="C62" s="220"/>
      <c r="D62" s="345"/>
      <c r="E62" s="345"/>
      <c r="F62" s="347"/>
      <c r="G62" s="105" t="s">
        <v>5</v>
      </c>
      <c r="H62" s="159">
        <f>A61+I62</f>
        <v>0</v>
      </c>
      <c r="I62" s="230"/>
      <c r="J62" s="290"/>
      <c r="K62" s="253"/>
      <c r="L62" s="291"/>
      <c r="M62" s="106" t="str">
        <f t="shared" ref="M62:M63" si="19">IF(OR(J62&gt;=L62, ISBLANK(J62)),"Pass","Fail")</f>
        <v>Pass</v>
      </c>
      <c r="N62" s="336"/>
      <c r="O62" s="336"/>
      <c r="P62" s="339"/>
      <c r="Q62" s="342"/>
      <c r="R62" s="342"/>
      <c r="S62" s="339"/>
      <c r="T62" s="242"/>
    </row>
    <row r="63" spans="1:21" ht="15" customHeight="1" thickBot="1" x14ac:dyDescent="0.35">
      <c r="A63" s="388"/>
      <c r="B63" s="364"/>
      <c r="C63" s="221"/>
      <c r="D63" s="364"/>
      <c r="E63" s="364"/>
      <c r="F63" s="385"/>
      <c r="G63" s="107" t="s">
        <v>42</v>
      </c>
      <c r="H63" s="59">
        <f>A61+I63</f>
        <v>0</v>
      </c>
      <c r="I63" s="234"/>
      <c r="J63" s="301"/>
      <c r="K63" s="247"/>
      <c r="L63" s="292"/>
      <c r="M63" s="109" t="str">
        <f t="shared" si="19"/>
        <v>Pass</v>
      </c>
      <c r="N63" s="337"/>
      <c r="O63" s="337"/>
      <c r="P63" s="340"/>
      <c r="Q63" s="343"/>
      <c r="R63" s="343"/>
      <c r="S63" s="340"/>
      <c r="T63" s="147"/>
    </row>
    <row r="64" spans="1:21" s="96" customFormat="1" ht="13.5" thickTop="1" x14ac:dyDescent="0.3">
      <c r="A64" s="358"/>
      <c r="B64" s="351"/>
      <c r="C64" s="265"/>
      <c r="D64" s="351"/>
      <c r="E64" s="351"/>
      <c r="F64" s="361"/>
      <c r="G64" s="37" t="s">
        <v>4</v>
      </c>
      <c r="H64" s="62">
        <f>A64+I64</f>
        <v>0</v>
      </c>
      <c r="I64" s="236"/>
      <c r="J64" s="213"/>
      <c r="K64" s="226"/>
      <c r="L64" s="213"/>
      <c r="M64" s="93"/>
      <c r="N64" s="366"/>
      <c r="O64" s="366"/>
      <c r="P64" s="332" t="str">
        <f t="shared" ref="P64" si="20">IF(OR(ISBLANK(N64)),"",IF(AND(N64&lt;=5, 7&gt;=3),"Pass","Fail"))</f>
        <v/>
      </c>
      <c r="Q64" s="329"/>
      <c r="R64" s="329"/>
      <c r="S64" s="332" t="str">
        <f>IF(Q64="","",
   IF(OR(E64=572648,E64=57180),
      IF(Q64&lt;=3,"PASS","FAIL"),
      IF(AND(Q64&gt;=3.8,B58&lt;=6.2),"PASS","FAIL")
   )
)</f>
        <v/>
      </c>
      <c r="T64" s="65"/>
    </row>
    <row r="65" spans="1:21" s="96" customFormat="1" ht="15" customHeight="1" x14ac:dyDescent="0.3">
      <c r="A65" s="358"/>
      <c r="B65" s="351"/>
      <c r="C65" s="265"/>
      <c r="D65" s="351"/>
      <c r="E65" s="351"/>
      <c r="F65" s="361"/>
      <c r="G65" s="101" t="s">
        <v>5</v>
      </c>
      <c r="H65" s="122">
        <f>A64+I65</f>
        <v>0</v>
      </c>
      <c r="I65" s="225"/>
      <c r="J65" s="198"/>
      <c r="K65" s="173"/>
      <c r="L65" s="198"/>
      <c r="M65" s="93" t="str">
        <f t="shared" ref="M65:M66" si="21">IF(OR(J65&gt;=L65, ISBLANK(J65)),"Pass","Fail")</f>
        <v>Pass</v>
      </c>
      <c r="N65" s="367"/>
      <c r="O65" s="367"/>
      <c r="P65" s="333"/>
      <c r="Q65" s="330"/>
      <c r="R65" s="330"/>
      <c r="S65" s="333"/>
      <c r="T65" s="161"/>
    </row>
    <row r="66" spans="1:21" s="96" customFormat="1" ht="15" customHeight="1" thickBot="1" x14ac:dyDescent="0.35">
      <c r="A66" s="358"/>
      <c r="B66" s="351"/>
      <c r="C66" s="265"/>
      <c r="D66" s="351"/>
      <c r="E66" s="351"/>
      <c r="F66" s="361"/>
      <c r="G66" s="41" t="s">
        <v>42</v>
      </c>
      <c r="H66" s="122">
        <f>A64+I66</f>
        <v>0</v>
      </c>
      <c r="I66" s="237"/>
      <c r="J66" s="205"/>
      <c r="K66" s="68"/>
      <c r="L66" s="208"/>
      <c r="M66" s="81" t="str">
        <f t="shared" si="21"/>
        <v>Pass</v>
      </c>
      <c r="N66" s="368"/>
      <c r="O66" s="368"/>
      <c r="P66" s="334"/>
      <c r="Q66" s="331"/>
      <c r="R66" s="331"/>
      <c r="S66" s="334"/>
      <c r="T66" s="250"/>
    </row>
    <row r="67" spans="1:21" s="96" customFormat="1" ht="13.5" customHeight="1" thickTop="1" x14ac:dyDescent="0.3">
      <c r="A67" s="386"/>
      <c r="B67" s="344"/>
      <c r="C67" s="268"/>
      <c r="D67" s="344"/>
      <c r="E67" s="344"/>
      <c r="F67" s="346"/>
      <c r="G67" s="27" t="s">
        <v>4</v>
      </c>
      <c r="H67" s="159">
        <f>A67+I67</f>
        <v>0</v>
      </c>
      <c r="I67" s="238"/>
      <c r="J67" s="293"/>
      <c r="K67" s="251"/>
      <c r="L67" s="303"/>
      <c r="M67" s="79"/>
      <c r="N67" s="335"/>
      <c r="O67" s="335"/>
      <c r="P67" s="338" t="str">
        <f t="shared" ref="P67" si="22">IF(OR(ISBLANK(N67)),"",IF(AND(N67&lt;=5, 7&gt;=3),"Pass","Fail"))</f>
        <v/>
      </c>
      <c r="Q67" s="341"/>
      <c r="R67" s="341"/>
      <c r="S67" s="338" t="str">
        <f>IF(Q67="","",
   IF(OR(E67=572648,E67=57180),
      IF(Q67&lt;=3,"PASS","FAIL"),
      IF(AND(Q67&gt;=3.8,B61&lt;=6.2),"PASS","FAIL")
   )
)</f>
        <v/>
      </c>
      <c r="T67" s="252"/>
    </row>
    <row r="68" spans="1:21" s="96" customFormat="1" ht="13" x14ac:dyDescent="0.3">
      <c r="A68" s="387"/>
      <c r="B68" s="345"/>
      <c r="C68" s="220"/>
      <c r="D68" s="345"/>
      <c r="E68" s="345"/>
      <c r="F68" s="347"/>
      <c r="G68" s="105" t="s">
        <v>5</v>
      </c>
      <c r="H68" s="159">
        <f>A67+I68</f>
        <v>0</v>
      </c>
      <c r="I68" s="230"/>
      <c r="J68" s="296"/>
      <c r="K68" s="253"/>
      <c r="L68" s="291"/>
      <c r="M68" s="106" t="str">
        <f t="shared" ref="M68:M69" si="23">IF(OR(J68&gt;=L68, ISBLANK(J68)),"Pass","Fail")</f>
        <v>Pass</v>
      </c>
      <c r="N68" s="336"/>
      <c r="O68" s="336"/>
      <c r="P68" s="339"/>
      <c r="Q68" s="342"/>
      <c r="R68" s="342"/>
      <c r="S68" s="339"/>
      <c r="T68" s="248"/>
    </row>
    <row r="69" spans="1:21" s="96" customFormat="1" ht="15.75" customHeight="1" thickBot="1" x14ac:dyDescent="0.35">
      <c r="A69" s="388"/>
      <c r="B69" s="364"/>
      <c r="C69" s="221"/>
      <c r="D69" s="364"/>
      <c r="E69" s="364"/>
      <c r="F69" s="385"/>
      <c r="G69" s="107" t="s">
        <v>42</v>
      </c>
      <c r="H69" s="59">
        <f>A67+I69</f>
        <v>0</v>
      </c>
      <c r="I69" s="234"/>
      <c r="J69" s="304"/>
      <c r="K69" s="224"/>
      <c r="L69" s="292"/>
      <c r="M69" s="109" t="str">
        <f t="shared" si="23"/>
        <v>Pass</v>
      </c>
      <c r="N69" s="337"/>
      <c r="O69" s="337"/>
      <c r="P69" s="340"/>
      <c r="Q69" s="343"/>
      <c r="R69" s="343"/>
      <c r="S69" s="340"/>
      <c r="T69" s="254"/>
    </row>
    <row r="70" spans="1:21" ht="15.75" customHeight="1" thickTop="1" x14ac:dyDescent="0.3">
      <c r="A70" s="358"/>
      <c r="B70" s="351"/>
      <c r="C70" s="265"/>
      <c r="D70" s="350"/>
      <c r="E70" s="350"/>
      <c r="F70" s="361"/>
      <c r="G70" s="37" t="s">
        <v>4</v>
      </c>
      <c r="H70" s="62">
        <f>A70+I70</f>
        <v>0</v>
      </c>
      <c r="I70" s="236"/>
      <c r="J70" s="214"/>
      <c r="K70" s="277"/>
      <c r="L70" s="214"/>
      <c r="M70" s="93"/>
      <c r="N70" s="366"/>
      <c r="O70" s="366"/>
      <c r="P70" s="332" t="str">
        <f t="shared" ref="P70" si="24">IF(OR(ISBLANK(N70)),"",IF(AND(N70&lt;=5, 7&gt;=3),"Pass","Fail"))</f>
        <v/>
      </c>
      <c r="Q70" s="329"/>
      <c r="R70" s="329"/>
      <c r="S70" s="332" t="str">
        <f>IF(Q70="","",
   IF(OR(E70=572648,E70=57180),
      IF(Q70&lt;=3,"PASS","FAIL"),
      IF(AND(Q70&gt;=3.8,B64&lt;=6.2),"PASS","FAIL")
   )
)</f>
        <v/>
      </c>
      <c r="T70" s="40"/>
      <c r="U70" s="96"/>
    </row>
    <row r="71" spans="1:21" ht="13" x14ac:dyDescent="0.3">
      <c r="A71" s="358"/>
      <c r="B71" s="351"/>
      <c r="C71" s="265"/>
      <c r="D71" s="351"/>
      <c r="E71" s="351"/>
      <c r="F71" s="361"/>
      <c r="G71" s="101" t="s">
        <v>5</v>
      </c>
      <c r="H71" s="122">
        <f>A70+I71</f>
        <v>0</v>
      </c>
      <c r="I71" s="225"/>
      <c r="J71" s="198"/>
      <c r="K71" s="173"/>
      <c r="L71" s="198"/>
      <c r="M71" s="93" t="str">
        <f t="shared" ref="M71:M72" si="25">IF(OR(J71&gt;=L71, ISBLANK(J71)),"Pass","Fail")</f>
        <v>Pass</v>
      </c>
      <c r="N71" s="367"/>
      <c r="O71" s="367"/>
      <c r="P71" s="333"/>
      <c r="Q71" s="330"/>
      <c r="R71" s="330"/>
      <c r="S71" s="333"/>
      <c r="T71" s="92"/>
    </row>
    <row r="72" spans="1:21" ht="13.5" thickBot="1" x14ac:dyDescent="0.35">
      <c r="A72" s="358"/>
      <c r="B72" s="352"/>
      <c r="C72" s="265"/>
      <c r="D72" s="351"/>
      <c r="E72" s="351"/>
      <c r="F72" s="361"/>
      <c r="G72" s="41" t="s">
        <v>42</v>
      </c>
      <c r="H72" s="122">
        <f>A70+I72</f>
        <v>0</v>
      </c>
      <c r="I72" s="237"/>
      <c r="J72" s="199"/>
      <c r="K72" s="68"/>
      <c r="L72" s="208"/>
      <c r="M72" s="81" t="str">
        <f t="shared" si="25"/>
        <v>Pass</v>
      </c>
      <c r="N72" s="368"/>
      <c r="O72" s="368"/>
      <c r="P72" s="334"/>
      <c r="Q72" s="331"/>
      <c r="R72" s="331"/>
      <c r="S72" s="334"/>
      <c r="T72" s="54"/>
    </row>
    <row r="73" spans="1:21" ht="15.75" customHeight="1" thickTop="1" x14ac:dyDescent="0.3">
      <c r="A73" s="386"/>
      <c r="B73" s="344"/>
      <c r="C73" s="268"/>
      <c r="D73" s="344"/>
      <c r="E73" s="344"/>
      <c r="F73" s="344"/>
      <c r="G73" s="27" t="s">
        <v>4</v>
      </c>
      <c r="H73" s="159">
        <f>A73+I73</f>
        <v>0</v>
      </c>
      <c r="I73" s="238"/>
      <c r="J73" s="305"/>
      <c r="K73" s="251"/>
      <c r="L73" s="305"/>
      <c r="M73" s="79"/>
      <c r="N73" s="335"/>
      <c r="O73" s="335"/>
      <c r="P73" s="338" t="str">
        <f t="shared" ref="P73" si="26">IF(OR(ISBLANK(N73)),"",IF(AND(N73&lt;=5, 7&gt;=3),"Pass","Fail"))</f>
        <v/>
      </c>
      <c r="Q73" s="341"/>
      <c r="R73" s="341"/>
      <c r="S73" s="338" t="str">
        <f>IF(Q73="","",
   IF(OR(E73=572648,E73=57180),
      IF(Q73&lt;=3,"PASS","FAIL"),
      IF(AND(Q73&gt;=3.8,B67&lt;=6.2),"PASS","FAIL")
   )
)</f>
        <v/>
      </c>
      <c r="T73" s="249"/>
    </row>
    <row r="74" spans="1:21" ht="15" customHeight="1" x14ac:dyDescent="0.3">
      <c r="A74" s="387"/>
      <c r="B74" s="345"/>
      <c r="C74" s="220"/>
      <c r="D74" s="345"/>
      <c r="E74" s="345"/>
      <c r="F74" s="345"/>
      <c r="G74" s="105" t="s">
        <v>5</v>
      </c>
      <c r="H74" s="159">
        <f>A73+I74</f>
        <v>0</v>
      </c>
      <c r="I74" s="230"/>
      <c r="J74" s="296"/>
      <c r="K74" s="253"/>
      <c r="L74" s="296"/>
      <c r="M74" s="106" t="str">
        <f t="shared" ref="M74:M75" si="27">IF(OR(J74&gt;=L74, ISBLANK(J74)),"Pass","Fail")</f>
        <v>Pass</v>
      </c>
      <c r="N74" s="336"/>
      <c r="O74" s="336"/>
      <c r="P74" s="339"/>
      <c r="Q74" s="342"/>
      <c r="R74" s="342"/>
      <c r="S74" s="339"/>
      <c r="T74" s="242"/>
    </row>
    <row r="75" spans="1:21" ht="15.75" customHeight="1" thickBot="1" x14ac:dyDescent="0.35">
      <c r="A75" s="388"/>
      <c r="B75" s="364"/>
      <c r="C75" s="221"/>
      <c r="D75" s="364"/>
      <c r="E75" s="364"/>
      <c r="F75" s="364"/>
      <c r="G75" s="107" t="s">
        <v>42</v>
      </c>
      <c r="H75" s="59">
        <f>A73+I75</f>
        <v>0</v>
      </c>
      <c r="I75" s="256"/>
      <c r="J75" s="304"/>
      <c r="K75" s="224"/>
      <c r="L75" s="304"/>
      <c r="M75" s="109" t="str">
        <f t="shared" si="27"/>
        <v>Pass</v>
      </c>
      <c r="N75" s="337"/>
      <c r="O75" s="337"/>
      <c r="P75" s="340"/>
      <c r="Q75" s="343"/>
      <c r="R75" s="343"/>
      <c r="S75" s="340"/>
      <c r="T75" s="257"/>
    </row>
    <row r="76" spans="1:21" ht="15.75" customHeight="1" thickTop="1" x14ac:dyDescent="0.3">
      <c r="A76" s="357"/>
      <c r="B76" s="350"/>
      <c r="C76" s="265"/>
      <c r="D76" s="433"/>
      <c r="E76" s="413"/>
      <c r="F76" s="350"/>
      <c r="G76" s="37" t="s">
        <v>4</v>
      </c>
      <c r="H76" s="62">
        <f>A76+I76</f>
        <v>0</v>
      </c>
      <c r="I76" s="185"/>
      <c r="J76" s="207"/>
      <c r="K76" s="152"/>
      <c r="L76" s="207"/>
      <c r="M76" s="93"/>
      <c r="N76" s="366"/>
      <c r="O76" s="366"/>
      <c r="P76" s="332" t="str">
        <f t="shared" ref="P76" si="28">IF(OR(ISBLANK(N76)),"",IF(AND(N76&lt;=5, 7&gt;=3),"Pass","Fail"))</f>
        <v/>
      </c>
      <c r="Q76" s="329"/>
      <c r="R76" s="329"/>
      <c r="S76" s="332" t="str">
        <f>IF(Q76="","",
   IF(OR(E76=572648,E76=57180),
      IF(Q76&lt;=3,"PASS","FAIL"),
      IF(AND(Q76&gt;=3.8,B70&lt;=6.2),"PASS","FAIL")
   )
)</f>
        <v/>
      </c>
      <c r="T76" s="49"/>
    </row>
    <row r="77" spans="1:21" ht="15" customHeight="1" x14ac:dyDescent="0.3">
      <c r="A77" s="358"/>
      <c r="B77" s="351"/>
      <c r="C77" s="265"/>
      <c r="D77" s="434"/>
      <c r="E77" s="351"/>
      <c r="F77" s="351"/>
      <c r="G77" s="101" t="s">
        <v>5</v>
      </c>
      <c r="H77" s="122">
        <f>A76+I77</f>
        <v>0</v>
      </c>
      <c r="I77" s="186"/>
      <c r="J77" s="198"/>
      <c r="K77" s="173"/>
      <c r="L77" s="198"/>
      <c r="M77" s="93" t="str">
        <f t="shared" ref="M77:M78" si="29">IF(OR(J77&gt;=L77, ISBLANK(J77)),"Pass","Fail")</f>
        <v>Pass</v>
      </c>
      <c r="N77" s="367"/>
      <c r="O77" s="367"/>
      <c r="P77" s="333"/>
      <c r="Q77" s="330"/>
      <c r="R77" s="330"/>
      <c r="S77" s="333"/>
      <c r="T77" s="92"/>
    </row>
    <row r="78" spans="1:21" ht="15.75" customHeight="1" thickBot="1" x14ac:dyDescent="0.35">
      <c r="A78" s="359"/>
      <c r="B78" s="352"/>
      <c r="C78" s="266"/>
      <c r="D78" s="414"/>
      <c r="E78" s="414"/>
      <c r="F78" s="352"/>
      <c r="G78" s="41" t="s">
        <v>42</v>
      </c>
      <c r="H78" s="122">
        <f>A76+I78</f>
        <v>0</v>
      </c>
      <c r="I78" s="187"/>
      <c r="J78" s="205"/>
      <c r="K78" s="278"/>
      <c r="L78" s="205"/>
      <c r="M78" s="81" t="str">
        <f t="shared" si="29"/>
        <v>Pass</v>
      </c>
      <c r="N78" s="368"/>
      <c r="O78" s="368"/>
      <c r="P78" s="334"/>
      <c r="Q78" s="331"/>
      <c r="R78" s="331"/>
      <c r="S78" s="334"/>
      <c r="T78" s="54"/>
    </row>
    <row r="79" spans="1:21" ht="15.75" customHeight="1" thickTop="1" x14ac:dyDescent="0.3">
      <c r="A79" s="386"/>
      <c r="B79" s="344"/>
      <c r="C79" s="220"/>
      <c r="D79" s="345"/>
      <c r="E79" s="344"/>
      <c r="F79" s="344"/>
      <c r="G79" s="27" t="s">
        <v>4</v>
      </c>
      <c r="H79" s="159">
        <f>A79+I79</f>
        <v>0</v>
      </c>
      <c r="I79" s="238"/>
      <c r="J79" s="293"/>
      <c r="K79" s="251"/>
      <c r="L79" s="305"/>
      <c r="M79" s="79"/>
      <c r="N79" s="335"/>
      <c r="O79" s="335"/>
      <c r="P79" s="338" t="str">
        <f t="shared" ref="P79" si="30">IF(OR(ISBLANK(N79)),"",IF(AND(N79&lt;=5, 7&gt;=3),"Pass","Fail"))</f>
        <v/>
      </c>
      <c r="Q79" s="341"/>
      <c r="R79" s="341"/>
      <c r="S79" s="338" t="str">
        <f>IF(Q79="","",
   IF(OR(E79=572648,E79=57180),
      IF(Q79&lt;=3,"PASS","FAIL"),
      IF(AND(Q79&gt;=3.8,B73&lt;=6.2),"PASS","FAIL")
   )
)</f>
        <v/>
      </c>
      <c r="T79" s="249"/>
    </row>
    <row r="80" spans="1:21" ht="15" customHeight="1" x14ac:dyDescent="0.3">
      <c r="A80" s="387"/>
      <c r="B80" s="345"/>
      <c r="C80" s="220"/>
      <c r="D80" s="345"/>
      <c r="E80" s="345"/>
      <c r="F80" s="345"/>
      <c r="G80" s="105" t="s">
        <v>5</v>
      </c>
      <c r="H80" s="159">
        <f>A79+I80</f>
        <v>0</v>
      </c>
      <c r="I80" s="230"/>
      <c r="J80" s="296"/>
      <c r="K80" s="253"/>
      <c r="L80" s="296"/>
      <c r="M80" s="106" t="str">
        <f t="shared" ref="M80:M81" si="31">IF(OR(J80&gt;=L80, ISBLANK(J80)),"Pass","Fail")</f>
        <v>Pass</v>
      </c>
      <c r="N80" s="336"/>
      <c r="O80" s="336"/>
      <c r="P80" s="339"/>
      <c r="Q80" s="342"/>
      <c r="R80" s="342"/>
      <c r="S80" s="339"/>
      <c r="T80" s="242"/>
    </row>
    <row r="81" spans="1:20" ht="15.75" customHeight="1" thickBot="1" x14ac:dyDescent="0.35">
      <c r="A81" s="388"/>
      <c r="B81" s="364"/>
      <c r="C81" s="221"/>
      <c r="D81" s="364"/>
      <c r="E81" s="364"/>
      <c r="F81" s="364"/>
      <c r="G81" s="107" t="s">
        <v>42</v>
      </c>
      <c r="H81" s="59">
        <f>A79+I81</f>
        <v>0</v>
      </c>
      <c r="I81" s="234"/>
      <c r="J81" s="301"/>
      <c r="K81" s="247"/>
      <c r="L81" s="301"/>
      <c r="M81" s="109" t="str">
        <f t="shared" si="31"/>
        <v>Pass</v>
      </c>
      <c r="N81" s="337"/>
      <c r="O81" s="337"/>
      <c r="P81" s="340"/>
      <c r="Q81" s="343"/>
      <c r="R81" s="343"/>
      <c r="S81" s="340"/>
      <c r="T81" s="147"/>
    </row>
    <row r="82" spans="1:20" ht="15.75" customHeight="1" thickTop="1" x14ac:dyDescent="0.3">
      <c r="A82" s="357"/>
      <c r="B82" s="350"/>
      <c r="C82" s="267"/>
      <c r="D82" s="350"/>
      <c r="E82" s="413"/>
      <c r="F82" s="360"/>
      <c r="G82" s="37" t="s">
        <v>4</v>
      </c>
      <c r="H82" s="62">
        <f>A82+I82</f>
        <v>0</v>
      </c>
      <c r="I82" s="37"/>
      <c r="J82" s="213"/>
      <c r="K82" s="226"/>
      <c r="L82" s="213"/>
      <c r="M82" s="93"/>
      <c r="N82" s="366"/>
      <c r="O82" s="366"/>
      <c r="P82" s="332" t="str">
        <f t="shared" ref="P82" si="32">IF(OR(ISBLANK(N82)),"",IF(AND(N82&lt;=5, 7&gt;=3),"Pass","Fail"))</f>
        <v/>
      </c>
      <c r="Q82" s="329"/>
      <c r="R82" s="329"/>
      <c r="S82" s="332" t="str">
        <f>IF(Q82="","",
   IF(OR(E82=572648,E82=57180),
      IF(Q82&lt;=3,"PASS","FAIL"),
      IF(AND(Q82&gt;=3.8,B76&lt;=6.2),"PASS","FAIL")
   )
)</f>
        <v/>
      </c>
      <c r="T82" s="40"/>
    </row>
    <row r="83" spans="1:20" ht="15.75" customHeight="1" x14ac:dyDescent="0.3">
      <c r="A83" s="358"/>
      <c r="B83" s="351"/>
      <c r="C83" s="265"/>
      <c r="D83" s="351"/>
      <c r="E83" s="351"/>
      <c r="F83" s="361"/>
      <c r="G83" s="101" t="s">
        <v>5</v>
      </c>
      <c r="H83" s="122">
        <f>A82+I83</f>
        <v>0</v>
      </c>
      <c r="I83" s="90"/>
      <c r="J83" s="198"/>
      <c r="K83" s="173"/>
      <c r="L83" s="198"/>
      <c r="M83" s="93" t="str">
        <f t="shared" ref="M83:M84" si="33">IF(OR(J83&gt;=L83, ISBLANK(J83)),"Pass","Fail")</f>
        <v>Pass</v>
      </c>
      <c r="N83" s="367"/>
      <c r="O83" s="367"/>
      <c r="P83" s="333"/>
      <c r="Q83" s="330"/>
      <c r="R83" s="330"/>
      <c r="S83" s="333"/>
      <c r="T83" s="92"/>
    </row>
    <row r="84" spans="1:20" ht="15.75" customHeight="1" thickBot="1" x14ac:dyDescent="0.35">
      <c r="A84" s="359"/>
      <c r="B84" s="352"/>
      <c r="C84" s="266"/>
      <c r="D84" s="352"/>
      <c r="E84" s="414"/>
      <c r="F84" s="362"/>
      <c r="G84" s="41" t="s">
        <v>42</v>
      </c>
      <c r="H84" s="122">
        <f>A82+I84</f>
        <v>0</v>
      </c>
      <c r="I84" s="41"/>
      <c r="J84" s="208"/>
      <c r="K84" s="68"/>
      <c r="L84" s="208"/>
      <c r="M84" s="81" t="str">
        <f t="shared" si="33"/>
        <v>Pass</v>
      </c>
      <c r="N84" s="368"/>
      <c r="O84" s="368"/>
      <c r="P84" s="334"/>
      <c r="Q84" s="331"/>
      <c r="R84" s="331"/>
      <c r="S84" s="334"/>
      <c r="T84" s="44"/>
    </row>
    <row r="85" spans="1:20" ht="15.75" customHeight="1" thickTop="1" x14ac:dyDescent="0.3">
      <c r="A85" s="386"/>
      <c r="B85" s="344"/>
      <c r="C85" s="268"/>
      <c r="D85" s="344"/>
      <c r="E85" s="344"/>
      <c r="F85" s="346"/>
      <c r="G85" s="27" t="s">
        <v>4</v>
      </c>
      <c r="H85" s="159">
        <f>A85+I85</f>
        <v>0</v>
      </c>
      <c r="I85" s="238"/>
      <c r="J85" s="305"/>
      <c r="K85" s="305"/>
      <c r="L85" s="305"/>
      <c r="M85" s="79"/>
      <c r="N85" s="335"/>
      <c r="O85" s="335"/>
      <c r="P85" s="338" t="str">
        <f t="shared" ref="P85" si="34">IF(OR(ISBLANK(N85)),"",IF(AND(N85&lt;=5, 7&gt;=3),"Pass","Fail"))</f>
        <v/>
      </c>
      <c r="Q85" s="341"/>
      <c r="R85" s="341"/>
      <c r="S85" s="338" t="str">
        <f>IF(Q85="","",
   IF(OR(E85=572648,E85=57180),
      IF(Q85&lt;=3,"PASS","FAIL"),
      IF(AND(Q85&gt;=3.8,B79&lt;=6.2),"PASS","FAIL")
   )
)</f>
        <v/>
      </c>
      <c r="T85" s="249"/>
    </row>
    <row r="86" spans="1:20" ht="15.75" customHeight="1" x14ac:dyDescent="0.3">
      <c r="A86" s="387"/>
      <c r="B86" s="345"/>
      <c r="C86" s="220"/>
      <c r="D86" s="345"/>
      <c r="E86" s="345"/>
      <c r="F86" s="347"/>
      <c r="G86" s="105" t="s">
        <v>5</v>
      </c>
      <c r="H86" s="159">
        <f>A85+I86</f>
        <v>0</v>
      </c>
      <c r="I86" s="230"/>
      <c r="J86" s="296"/>
      <c r="K86" s="296"/>
      <c r="L86" s="296"/>
      <c r="M86" s="106" t="str">
        <f t="shared" ref="M86:M87" si="35">IF(OR(J86&gt;=L86, ISBLANK(J86)),"Pass","Fail")</f>
        <v>Pass</v>
      </c>
      <c r="N86" s="336"/>
      <c r="O86" s="336"/>
      <c r="P86" s="339"/>
      <c r="Q86" s="342"/>
      <c r="R86" s="342"/>
      <c r="S86" s="339"/>
      <c r="T86" s="242"/>
    </row>
    <row r="87" spans="1:20" ht="15.75" customHeight="1" thickBot="1" x14ac:dyDescent="0.35">
      <c r="A87" s="388"/>
      <c r="B87" s="364"/>
      <c r="C87" s="221"/>
      <c r="D87" s="364"/>
      <c r="E87" s="364"/>
      <c r="F87" s="385"/>
      <c r="G87" s="107" t="s">
        <v>42</v>
      </c>
      <c r="H87" s="59">
        <f>A85+I87</f>
        <v>0</v>
      </c>
      <c r="I87" s="234"/>
      <c r="J87" s="301"/>
      <c r="K87" s="301"/>
      <c r="L87" s="301"/>
      <c r="M87" s="109" t="str">
        <f t="shared" si="35"/>
        <v>Pass</v>
      </c>
      <c r="N87" s="337"/>
      <c r="O87" s="337"/>
      <c r="P87" s="340"/>
      <c r="Q87" s="343"/>
      <c r="R87" s="343"/>
      <c r="S87" s="340"/>
      <c r="T87" s="147"/>
    </row>
    <row r="88" spans="1:20" ht="13.5" thickTop="1" x14ac:dyDescent="0.3">
      <c r="A88" s="358"/>
      <c r="B88" s="350"/>
      <c r="C88" s="267"/>
      <c r="D88" s="350"/>
      <c r="E88" s="350"/>
      <c r="F88" s="361"/>
      <c r="G88" s="37" t="s">
        <v>4</v>
      </c>
      <c r="H88" s="62">
        <f>A88+I88</f>
        <v>0</v>
      </c>
      <c r="I88" s="37"/>
      <c r="J88" s="213"/>
      <c r="K88" s="213"/>
      <c r="L88" s="213"/>
      <c r="M88" s="93"/>
      <c r="N88" s="366"/>
      <c r="O88" s="366"/>
      <c r="P88" s="332" t="str">
        <f t="shared" ref="P88" si="36">IF(OR(ISBLANK(N88)),"",IF(AND(N88&lt;=5, 7&gt;=3),"Pass","Fail"))</f>
        <v/>
      </c>
      <c r="Q88" s="329"/>
      <c r="R88" s="329"/>
      <c r="S88" s="332" t="str">
        <f>IF(Q88="","",
   IF(OR(E88=572648,E88=57180),
      IF(Q88&lt;=3,"PASS","FAIL"),
      IF(AND(Q88&gt;=3.8,B82&lt;=6.2),"PASS","FAIL")
   )
)</f>
        <v/>
      </c>
      <c r="T88" s="40"/>
    </row>
    <row r="89" spans="1:20" ht="13" x14ac:dyDescent="0.3">
      <c r="A89" s="358"/>
      <c r="B89" s="351"/>
      <c r="C89" s="265"/>
      <c r="D89" s="351"/>
      <c r="E89" s="351"/>
      <c r="F89" s="361"/>
      <c r="G89" s="101" t="s">
        <v>5</v>
      </c>
      <c r="H89" s="122">
        <f>A88+I89</f>
        <v>0</v>
      </c>
      <c r="I89" s="90"/>
      <c r="J89" s="198"/>
      <c r="K89" s="198"/>
      <c r="L89" s="198"/>
      <c r="M89" s="93" t="str">
        <f t="shared" ref="M89:M90" si="37">IF(OR(J89&gt;=L89, ISBLANK(J89)),"Pass","Fail")</f>
        <v>Pass</v>
      </c>
      <c r="N89" s="367"/>
      <c r="O89" s="367"/>
      <c r="P89" s="333"/>
      <c r="Q89" s="330"/>
      <c r="R89" s="330"/>
      <c r="S89" s="333"/>
      <c r="T89" s="92"/>
    </row>
    <row r="90" spans="1:20" ht="13.5" thickBot="1" x14ac:dyDescent="0.35">
      <c r="A90" s="358"/>
      <c r="B90" s="352"/>
      <c r="C90" s="266"/>
      <c r="D90" s="352"/>
      <c r="E90" s="352"/>
      <c r="F90" s="361"/>
      <c r="G90" s="41" t="s">
        <v>42</v>
      </c>
      <c r="H90" s="122">
        <f>A88+I90</f>
        <v>0</v>
      </c>
      <c r="I90" s="41"/>
      <c r="J90" s="208"/>
      <c r="K90" s="208"/>
      <c r="L90" s="208"/>
      <c r="M90" s="81" t="str">
        <f t="shared" si="37"/>
        <v>Pass</v>
      </c>
      <c r="N90" s="368"/>
      <c r="O90" s="368"/>
      <c r="P90" s="334"/>
      <c r="Q90" s="331"/>
      <c r="R90" s="331"/>
      <c r="S90" s="334"/>
      <c r="T90" s="44"/>
    </row>
    <row r="91" spans="1:20" ht="15.75" customHeight="1" thickTop="1" x14ac:dyDescent="0.3">
      <c r="A91" s="386"/>
      <c r="B91" s="344"/>
      <c r="C91" s="220"/>
      <c r="D91" s="345"/>
      <c r="E91" s="345"/>
      <c r="F91" s="346"/>
      <c r="G91" s="27" t="s">
        <v>4</v>
      </c>
      <c r="H91" s="159">
        <f>A91+I91</f>
        <v>0</v>
      </c>
      <c r="I91" s="238"/>
      <c r="J91" s="305"/>
      <c r="K91" s="305"/>
      <c r="L91" s="305"/>
      <c r="M91" s="79"/>
      <c r="N91" s="335"/>
      <c r="O91" s="335"/>
      <c r="P91" s="338" t="str">
        <f t="shared" ref="P91" si="38">IF(OR(ISBLANK(N91)),"",IF(AND(N91&lt;=5, 7&gt;=3),"Pass","Fail"))</f>
        <v/>
      </c>
      <c r="Q91" s="341"/>
      <c r="R91" s="341"/>
      <c r="S91" s="338" t="str">
        <f>IF(Q91="","",
   IF(OR(E91=572648,E91=57180),
      IF(Q91&lt;=3,"PASS","FAIL"),
      IF(AND(Q91&gt;=3.8,B85&lt;=6.2),"PASS","FAIL")
   )
)</f>
        <v/>
      </c>
      <c r="T91" s="249"/>
    </row>
    <row r="92" spans="1:20" ht="15.75" customHeight="1" x14ac:dyDescent="0.3">
      <c r="A92" s="387"/>
      <c r="B92" s="345"/>
      <c r="C92" s="220"/>
      <c r="D92" s="345"/>
      <c r="E92" s="345"/>
      <c r="F92" s="347"/>
      <c r="G92" s="105" t="s">
        <v>5</v>
      </c>
      <c r="H92" s="159">
        <f>A91+I92</f>
        <v>0</v>
      </c>
      <c r="I92" s="230"/>
      <c r="J92" s="296"/>
      <c r="K92" s="296"/>
      <c r="L92" s="296"/>
      <c r="M92" s="106" t="str">
        <f t="shared" ref="M92:M93" si="39">IF(OR(J92&gt;=L92, ISBLANK(J92)),"Pass","Fail")</f>
        <v>Pass</v>
      </c>
      <c r="N92" s="336"/>
      <c r="O92" s="336"/>
      <c r="P92" s="339"/>
      <c r="Q92" s="342"/>
      <c r="R92" s="342"/>
      <c r="S92" s="339"/>
      <c r="T92" s="242"/>
    </row>
    <row r="93" spans="1:20" ht="15.75" customHeight="1" thickBot="1" x14ac:dyDescent="0.35">
      <c r="A93" s="388"/>
      <c r="B93" s="364"/>
      <c r="C93" s="220"/>
      <c r="D93" s="345"/>
      <c r="E93" s="345"/>
      <c r="F93" s="385"/>
      <c r="G93" s="107" t="s">
        <v>42</v>
      </c>
      <c r="H93" s="59">
        <f>A91+I93</f>
        <v>0</v>
      </c>
      <c r="I93" s="234"/>
      <c r="J93" s="301"/>
      <c r="K93" s="301"/>
      <c r="L93" s="301"/>
      <c r="M93" s="109" t="str">
        <f t="shared" si="39"/>
        <v>Pass</v>
      </c>
      <c r="N93" s="337"/>
      <c r="O93" s="337"/>
      <c r="P93" s="340"/>
      <c r="Q93" s="343"/>
      <c r="R93" s="343"/>
      <c r="S93" s="340"/>
      <c r="T93" s="147"/>
    </row>
    <row r="94" spans="1:20" ht="13.5" thickTop="1" x14ac:dyDescent="0.3">
      <c r="A94" s="358"/>
      <c r="B94" s="413"/>
      <c r="C94" s="413"/>
      <c r="D94" s="413"/>
      <c r="E94" s="413"/>
      <c r="F94" s="415"/>
      <c r="G94" s="37" t="s">
        <v>4</v>
      </c>
      <c r="H94" s="62">
        <f>A94+I94</f>
        <v>0</v>
      </c>
      <c r="I94" s="37"/>
      <c r="J94" s="213"/>
      <c r="K94" s="213"/>
      <c r="L94" s="213"/>
      <c r="M94" s="93"/>
      <c r="N94" s="366"/>
      <c r="O94" s="366"/>
      <c r="P94" s="332" t="str">
        <f t="shared" ref="P94" si="40">IF(OR(ISBLANK(N94)),"",IF(AND(N94&lt;=5, 7&gt;=3),"Pass","Fail"))</f>
        <v/>
      </c>
      <c r="Q94" s="329"/>
      <c r="R94" s="329"/>
      <c r="S94" s="332" t="str">
        <f>IF(Q94="","",
   IF(OR(E94=572648,E94=57180),
      IF(Q94&lt;=3,"PASS","FAIL"),
      IF(AND(Q94&gt;=3.8,B88&lt;=6.2),"PASS","FAIL")
   )
)</f>
        <v/>
      </c>
      <c r="T94" s="37"/>
    </row>
    <row r="95" spans="1:20" ht="13" x14ac:dyDescent="0.3">
      <c r="A95" s="358"/>
      <c r="B95" s="351"/>
      <c r="C95" s="351"/>
      <c r="D95" s="351"/>
      <c r="E95" s="351"/>
      <c r="F95" s="361"/>
      <c r="G95" s="101" t="s">
        <v>5</v>
      </c>
      <c r="H95" s="122">
        <f>A94+I95</f>
        <v>0</v>
      </c>
      <c r="I95" s="90"/>
      <c r="J95" s="198"/>
      <c r="K95" s="198"/>
      <c r="L95" s="198"/>
      <c r="M95" s="93" t="str">
        <f t="shared" ref="M95:M96" si="41">IF(OR(J95&gt;=L95, ISBLANK(J95)),"Pass","Fail")</f>
        <v>Pass</v>
      </c>
      <c r="N95" s="367"/>
      <c r="O95" s="367"/>
      <c r="P95" s="333"/>
      <c r="Q95" s="330"/>
      <c r="R95" s="330"/>
      <c r="S95" s="333"/>
      <c r="T95" s="90"/>
    </row>
    <row r="96" spans="1:20" ht="13.5" thickBot="1" x14ac:dyDescent="0.35">
      <c r="A96" s="359"/>
      <c r="B96" s="414"/>
      <c r="C96" s="414"/>
      <c r="D96" s="414"/>
      <c r="E96" s="414"/>
      <c r="F96" s="416"/>
      <c r="G96" s="41" t="s">
        <v>42</v>
      </c>
      <c r="H96" s="122">
        <f>A94+I96</f>
        <v>0</v>
      </c>
      <c r="I96" s="50"/>
      <c r="J96" s="205"/>
      <c r="K96" s="205"/>
      <c r="L96" s="205"/>
      <c r="M96" s="81" t="str">
        <f t="shared" si="41"/>
        <v>Pass</v>
      </c>
      <c r="N96" s="368"/>
      <c r="O96" s="368"/>
      <c r="P96" s="334"/>
      <c r="Q96" s="331"/>
      <c r="R96" s="331"/>
      <c r="S96" s="334"/>
      <c r="T96" s="50"/>
    </row>
    <row r="97" spans="1:21" ht="13.5" thickTop="1" x14ac:dyDescent="0.3">
      <c r="A97" s="353"/>
      <c r="B97" s="424"/>
      <c r="C97" s="424"/>
      <c r="D97" s="424"/>
      <c r="E97" s="424"/>
      <c r="F97" s="430"/>
      <c r="G97" s="27" t="s">
        <v>4</v>
      </c>
      <c r="H97" s="159">
        <f>A97+I97</f>
        <v>0</v>
      </c>
      <c r="I97" s="9"/>
      <c r="J97" s="211"/>
      <c r="K97" s="211"/>
      <c r="L97" s="211"/>
      <c r="M97" s="79"/>
      <c r="N97" s="335"/>
      <c r="O97" s="335"/>
      <c r="P97" s="338" t="str">
        <f t="shared" ref="P97" si="42">IF(OR(ISBLANK(N97)),"",IF(AND(N97&lt;=5, 7&gt;=3),"Pass","Fail"))</f>
        <v/>
      </c>
      <c r="Q97" s="341"/>
      <c r="R97" s="341"/>
      <c r="S97" s="338" t="str">
        <f>IF(Q97="","",
   IF(OR(E97=572648,E97=57180),
      IF(Q97&lt;=3,"PASS","FAIL"),
      IF(AND(Q97&gt;=3.8,B91&lt;=6.2),"PASS","FAIL")
   )
)</f>
        <v/>
      </c>
      <c r="T97" s="9"/>
    </row>
    <row r="98" spans="1:21" ht="13" x14ac:dyDescent="0.3">
      <c r="A98" s="353"/>
      <c r="B98" s="355"/>
      <c r="C98" s="355"/>
      <c r="D98" s="355"/>
      <c r="E98" s="355"/>
      <c r="F98" s="431"/>
      <c r="G98" s="105" t="s">
        <v>5</v>
      </c>
      <c r="H98" s="159">
        <f>A97+I98</f>
        <v>0</v>
      </c>
      <c r="I98" s="27"/>
      <c r="J98" s="195"/>
      <c r="K98" s="210"/>
      <c r="L98" s="210"/>
      <c r="M98" s="106" t="str">
        <f t="shared" ref="M98:M99" si="43">IF(OR(J98&gt;=L98, ISBLANK(J98)),"Pass","Fail")</f>
        <v>Pass</v>
      </c>
      <c r="N98" s="336"/>
      <c r="O98" s="336"/>
      <c r="P98" s="339"/>
      <c r="Q98" s="342"/>
      <c r="R98" s="342"/>
      <c r="S98" s="339"/>
      <c r="T98" s="27"/>
    </row>
    <row r="99" spans="1:21" ht="13.5" thickBot="1" x14ac:dyDescent="0.35">
      <c r="A99" s="354"/>
      <c r="B99" s="420"/>
      <c r="C99" s="420"/>
      <c r="D99" s="420"/>
      <c r="E99" s="420"/>
      <c r="F99" s="432"/>
      <c r="G99" s="107" t="s">
        <v>42</v>
      </c>
      <c r="H99" s="59">
        <f>A97+I99</f>
        <v>0</v>
      </c>
      <c r="I99" s="15"/>
      <c r="J99" s="196"/>
      <c r="K99" s="212"/>
      <c r="L99" s="212"/>
      <c r="M99" s="109" t="str">
        <f t="shared" si="43"/>
        <v>Pass</v>
      </c>
      <c r="N99" s="337"/>
      <c r="O99" s="337"/>
      <c r="P99" s="340"/>
      <c r="Q99" s="343"/>
      <c r="R99" s="343"/>
      <c r="S99" s="340"/>
      <c r="T99" s="12"/>
    </row>
    <row r="100" spans="1:21" ht="15.75" customHeight="1" thickTop="1" x14ac:dyDescent="0.3">
      <c r="A100" s="357"/>
      <c r="B100" s="350"/>
      <c r="C100" s="267"/>
      <c r="D100" s="350"/>
      <c r="E100" s="350"/>
      <c r="F100" s="360"/>
      <c r="G100" s="37" t="s">
        <v>4</v>
      </c>
      <c r="H100" s="62">
        <f>A100+I100</f>
        <v>0</v>
      </c>
      <c r="I100" s="185"/>
      <c r="J100" s="207"/>
      <c r="K100" s="207"/>
      <c r="L100" s="207"/>
      <c r="M100" s="93"/>
      <c r="N100" s="329"/>
      <c r="O100" s="329"/>
      <c r="P100" s="332" t="str">
        <f t="shared" ref="P100" si="44">IF(OR(ISBLANK(N100)),"",IF(AND(N100&lt;=5, 7&gt;=3),"Pass","Fail"))</f>
        <v/>
      </c>
      <c r="Q100" s="329"/>
      <c r="R100" s="329"/>
      <c r="S100" s="332" t="str">
        <f>IF(Q100="","",
   IF(OR(E100=572648,E100=57180),
      IF(Q100&lt;=3,"PASS","FAIL"),
      IF(AND(Q100&gt;=3.8,B94&lt;=6.2),"PASS","FAIL")
   )
)</f>
        <v/>
      </c>
      <c r="T100" s="49"/>
      <c r="U100" s="365"/>
    </row>
    <row r="101" spans="1:21" ht="15.75" customHeight="1" x14ac:dyDescent="0.3">
      <c r="A101" s="358"/>
      <c r="B101" s="351"/>
      <c r="C101" s="265"/>
      <c r="D101" s="351"/>
      <c r="E101" s="351"/>
      <c r="F101" s="361"/>
      <c r="G101" s="101" t="s">
        <v>5</v>
      </c>
      <c r="H101" s="122">
        <f>A100+I101</f>
        <v>0</v>
      </c>
      <c r="I101" s="186"/>
      <c r="J101" s="198"/>
      <c r="K101" s="198"/>
      <c r="L101" s="198"/>
      <c r="M101" s="93" t="str">
        <f t="shared" ref="M101:M102" si="45">IF(OR(J101&gt;=L101, ISBLANK(J101)),"Pass","Fail")</f>
        <v>Pass</v>
      </c>
      <c r="N101" s="330"/>
      <c r="O101" s="330"/>
      <c r="P101" s="333"/>
      <c r="Q101" s="330"/>
      <c r="R101" s="330"/>
      <c r="S101" s="333"/>
      <c r="T101" s="92"/>
      <c r="U101" s="365"/>
    </row>
    <row r="102" spans="1:21" ht="15.75" customHeight="1" thickBot="1" x14ac:dyDescent="0.35">
      <c r="A102" s="359"/>
      <c r="B102" s="352"/>
      <c r="C102" s="266"/>
      <c r="D102" s="352"/>
      <c r="E102" s="352"/>
      <c r="F102" s="362"/>
      <c r="G102" s="41" t="s">
        <v>42</v>
      </c>
      <c r="H102" s="122">
        <f>A100+I102</f>
        <v>0</v>
      </c>
      <c r="I102" s="187"/>
      <c r="J102" s="205"/>
      <c r="K102" s="205"/>
      <c r="L102" s="205"/>
      <c r="M102" s="81" t="str">
        <f t="shared" si="45"/>
        <v>Pass</v>
      </c>
      <c r="N102" s="331"/>
      <c r="O102" s="331"/>
      <c r="P102" s="334"/>
      <c r="Q102" s="331"/>
      <c r="R102" s="331"/>
      <c r="S102" s="334"/>
      <c r="T102" s="54"/>
      <c r="U102" s="365"/>
    </row>
    <row r="103" spans="1:21" ht="13.5" thickTop="1" x14ac:dyDescent="0.3">
      <c r="A103" s="363"/>
      <c r="B103" s="417"/>
      <c r="C103" s="417"/>
      <c r="D103" s="417"/>
      <c r="E103" s="417"/>
      <c r="F103" s="418"/>
      <c r="G103" s="27" t="s">
        <v>4</v>
      </c>
      <c r="H103" s="159">
        <f>A103+I103</f>
        <v>0</v>
      </c>
      <c r="I103" s="17"/>
      <c r="J103" s="209"/>
      <c r="K103" s="200"/>
      <c r="L103" s="200"/>
      <c r="M103" s="79"/>
      <c r="N103" s="335"/>
      <c r="O103" s="335"/>
      <c r="P103" s="338" t="str">
        <f t="shared" ref="P103" si="46">IF(OR(ISBLANK(N103)),"",IF(AND(N103&lt;=5, 7&gt;=3),"Pass","Fail"))</f>
        <v/>
      </c>
      <c r="Q103" s="341"/>
      <c r="R103" s="341"/>
      <c r="S103" s="338" t="str">
        <f>IF(Q103="","",
   IF(OR(E103=572648,E103=57180),
      IF(Q103&lt;=3,"PASS","FAIL"),
      IF(AND(Q103&gt;=3.8,B97&lt;=6.2),"PASS","FAIL")
   )
)</f>
        <v/>
      </c>
      <c r="T103" s="58"/>
      <c r="U103" s="365"/>
    </row>
    <row r="104" spans="1:21" ht="13" x14ac:dyDescent="0.3">
      <c r="A104" s="353"/>
      <c r="B104" s="355"/>
      <c r="C104" s="355"/>
      <c r="D104" s="355"/>
      <c r="E104" s="355"/>
      <c r="F104" s="393"/>
      <c r="G104" s="105" t="s">
        <v>5</v>
      </c>
      <c r="H104" s="159">
        <f>A103+I104</f>
        <v>0</v>
      </c>
      <c r="I104" s="27"/>
      <c r="J104" s="210"/>
      <c r="K104" s="195"/>
      <c r="L104" s="195"/>
      <c r="M104" s="106" t="str">
        <f t="shared" ref="M104:M105" si="47">IF(OR(J104&gt;=L104, ISBLANK(J104)),"Pass","Fail")</f>
        <v>Pass</v>
      </c>
      <c r="N104" s="336"/>
      <c r="O104" s="336"/>
      <c r="P104" s="339"/>
      <c r="Q104" s="342"/>
      <c r="R104" s="342"/>
      <c r="S104" s="339"/>
      <c r="T104" s="30"/>
      <c r="U104" s="365"/>
    </row>
    <row r="105" spans="1:21" ht="13.5" thickBot="1" x14ac:dyDescent="0.35">
      <c r="A105" s="354"/>
      <c r="B105" s="356"/>
      <c r="C105" s="356"/>
      <c r="D105" s="356"/>
      <c r="E105" s="356"/>
      <c r="F105" s="394"/>
      <c r="G105" s="107" t="s">
        <v>42</v>
      </c>
      <c r="H105" s="59">
        <f>A103+I105</f>
        <v>0</v>
      </c>
      <c r="I105" s="12"/>
      <c r="J105" s="212"/>
      <c r="K105" s="196"/>
      <c r="L105" s="196"/>
      <c r="M105" s="109" t="str">
        <f t="shared" si="47"/>
        <v>Pass</v>
      </c>
      <c r="N105" s="337"/>
      <c r="O105" s="337"/>
      <c r="P105" s="340"/>
      <c r="Q105" s="343"/>
      <c r="R105" s="343"/>
      <c r="S105" s="340"/>
      <c r="T105" s="14"/>
      <c r="U105" s="365"/>
    </row>
    <row r="106" spans="1:21" ht="14" hidden="1" customHeight="1" thickBot="1" x14ac:dyDescent="0.35">
      <c r="A106" s="353"/>
      <c r="B106" s="355"/>
      <c r="C106" s="262"/>
      <c r="D106" s="355"/>
      <c r="E106" s="355"/>
      <c r="F106" s="393"/>
      <c r="G106" s="37" t="s">
        <v>4</v>
      </c>
      <c r="H106" s="62">
        <f>A106+I106</f>
        <v>0</v>
      </c>
      <c r="I106" s="9"/>
      <c r="J106" s="211"/>
      <c r="K106" s="197"/>
      <c r="L106" s="197"/>
      <c r="M106" s="93"/>
      <c r="N106" s="336"/>
      <c r="O106" s="336"/>
      <c r="P106" s="332" t="str">
        <f t="shared" ref="P106" si="48">IF(OR(ISBLANK(N106)),"",IF(AND(N106&lt;=5, 7&gt;=3),"Pass","Fail"))</f>
        <v/>
      </c>
      <c r="Q106" s="342"/>
      <c r="R106" s="342"/>
      <c r="S106" s="338" t="str">
        <f>IF(Q106="","",
   IF(OR(E106=572648,E106=57180),
      IF(Q106&lt;=3,"PASS","FAIL"),
      IF(AND(Q106&gt;=3.8,B100&lt;=6.2),"PASS","FAIL")
   )
)</f>
        <v/>
      </c>
      <c r="T106" s="78"/>
      <c r="U106" s="365"/>
    </row>
    <row r="107" spans="1:21" ht="14" hidden="1" customHeight="1" x14ac:dyDescent="0.3">
      <c r="A107" s="353"/>
      <c r="B107" s="355"/>
      <c r="C107" s="262"/>
      <c r="D107" s="355"/>
      <c r="E107" s="355"/>
      <c r="F107" s="393"/>
      <c r="G107" s="101" t="s">
        <v>5</v>
      </c>
      <c r="H107" s="122">
        <f>A106+I107</f>
        <v>0</v>
      </c>
      <c r="I107" s="27"/>
      <c r="J107" s="210"/>
      <c r="K107" s="195"/>
      <c r="L107" s="195"/>
      <c r="M107" s="93" t="str">
        <f t="shared" ref="M107:M108" si="49">IF(OR(J107&gt;=L107, ISBLANK(J107)),"Pass","Fail")</f>
        <v>Pass</v>
      </c>
      <c r="N107" s="336"/>
      <c r="O107" s="336"/>
      <c r="P107" s="333"/>
      <c r="Q107" s="342"/>
      <c r="R107" s="342"/>
      <c r="S107" s="339"/>
      <c r="T107" s="30"/>
      <c r="U107" s="365"/>
    </row>
    <row r="108" spans="1:21" ht="14" hidden="1" customHeight="1" thickTop="1" x14ac:dyDescent="0.3">
      <c r="A108" s="354"/>
      <c r="B108" s="356"/>
      <c r="C108" s="263"/>
      <c r="D108" s="356"/>
      <c r="E108" s="356"/>
      <c r="F108" s="393"/>
      <c r="G108" s="41" t="s">
        <v>42</v>
      </c>
      <c r="H108" s="122">
        <f>A106+I108</f>
        <v>0</v>
      </c>
      <c r="I108" s="15"/>
      <c r="J108" s="212"/>
      <c r="K108" s="206"/>
      <c r="L108" s="196"/>
      <c r="M108" s="81" t="str">
        <f t="shared" si="49"/>
        <v>Pass</v>
      </c>
      <c r="N108" s="337"/>
      <c r="O108" s="337"/>
      <c r="P108" s="334"/>
      <c r="Q108" s="343"/>
      <c r="R108" s="343"/>
      <c r="S108" s="340"/>
      <c r="T108" s="95"/>
      <c r="U108" s="365"/>
    </row>
    <row r="109" spans="1:21" ht="13.5" thickTop="1" x14ac:dyDescent="0.3">
      <c r="A109" s="357"/>
      <c r="B109" s="350"/>
      <c r="C109" s="267"/>
      <c r="D109" s="350"/>
      <c r="E109" s="350"/>
      <c r="F109" s="360"/>
      <c r="G109" s="37" t="s">
        <v>4</v>
      </c>
      <c r="H109" s="62">
        <f>A112+I112</f>
        <v>0</v>
      </c>
      <c r="I109" s="185"/>
      <c r="J109" s="207"/>
      <c r="K109" s="207"/>
      <c r="L109" s="215"/>
      <c r="M109" s="93"/>
      <c r="N109" s="329"/>
      <c r="O109" s="329"/>
      <c r="P109" s="332" t="str">
        <f t="shared" ref="P109:P169" si="50">IF(OR(ISBLANK(N109)),"",IF(AND(N109&lt;=5, 7&gt;=3),"Pass","Fail"))</f>
        <v/>
      </c>
      <c r="Q109" s="329"/>
      <c r="R109" s="329"/>
      <c r="S109" s="332" t="str">
        <f>IF(Q109="","",
   IF(OR(E109=572648,E109=57180),
      IF(Q109&lt;=3,"PASS","FAIL"),
      IF(AND(Q109&gt;=3.8,B103&lt;=6.2),"PASS","FAIL")
   )
)</f>
        <v/>
      </c>
      <c r="T109" s="49"/>
    </row>
    <row r="110" spans="1:21" ht="13" x14ac:dyDescent="0.3">
      <c r="A110" s="358"/>
      <c r="B110" s="351"/>
      <c r="C110" s="265"/>
      <c r="D110" s="351"/>
      <c r="E110" s="351"/>
      <c r="F110" s="361"/>
      <c r="G110" s="101" t="s">
        <v>5</v>
      </c>
      <c r="H110" s="122">
        <f>A112+I113</f>
        <v>0</v>
      </c>
      <c r="I110" s="186"/>
      <c r="J110" s="198"/>
      <c r="K110" s="198"/>
      <c r="L110" s="287"/>
      <c r="M110" s="93" t="str">
        <f t="shared" ref="M110:M111" si="51">IF(OR(J113&gt;=L113, ISBLANK(J113)),"Pass","Fail")</f>
        <v>Pass</v>
      </c>
      <c r="N110" s="330"/>
      <c r="O110" s="330"/>
      <c r="P110" s="333"/>
      <c r="Q110" s="330"/>
      <c r="R110" s="330"/>
      <c r="S110" s="333"/>
      <c r="T110" s="92"/>
    </row>
    <row r="111" spans="1:21" ht="13.5" thickBot="1" x14ac:dyDescent="0.35">
      <c r="A111" s="359"/>
      <c r="B111" s="352"/>
      <c r="C111" s="266"/>
      <c r="D111" s="352"/>
      <c r="E111" s="352"/>
      <c r="F111" s="362"/>
      <c r="G111" s="41" t="s">
        <v>42</v>
      </c>
      <c r="H111" s="122">
        <f>A112+I114</f>
        <v>0</v>
      </c>
      <c r="I111" s="187"/>
      <c r="J111" s="205"/>
      <c r="K111" s="205"/>
      <c r="L111" s="202"/>
      <c r="M111" s="81" t="str">
        <f t="shared" si="51"/>
        <v>Pass</v>
      </c>
      <c r="N111" s="331"/>
      <c r="O111" s="331"/>
      <c r="P111" s="334"/>
      <c r="Q111" s="331"/>
      <c r="R111" s="331"/>
      <c r="S111" s="334"/>
      <c r="T111" s="54"/>
    </row>
    <row r="112" spans="1:21" ht="13.5" customHeight="1" thickTop="1" x14ac:dyDescent="0.3">
      <c r="A112" s="353"/>
      <c r="B112" s="355"/>
      <c r="C112" s="355"/>
      <c r="D112" s="355"/>
      <c r="E112" s="419"/>
      <c r="F112" s="393"/>
      <c r="G112" s="27" t="s">
        <v>4</v>
      </c>
      <c r="H112" s="159">
        <f>A115+I115</f>
        <v>0</v>
      </c>
      <c r="I112" s="17"/>
      <c r="J112" s="209"/>
      <c r="K112" s="306"/>
      <c r="L112" s="197"/>
      <c r="M112" s="79"/>
      <c r="N112" s="335"/>
      <c r="O112" s="335"/>
      <c r="P112" s="338" t="str">
        <f t="shared" ref="P112:P172" si="52">IF(OR(ISBLANK(N112)),"",IF(AND(N112&lt;=5, 7&gt;=3),"Pass","Fail"))</f>
        <v/>
      </c>
      <c r="Q112" s="341"/>
      <c r="R112" s="341"/>
      <c r="S112" s="338" t="str">
        <f>IF(Q112="","",
   IF(OR(E112=572648,E112=57180),
      IF(Q112&lt;=3,"PASS","FAIL"),
      IF(AND(Q112&gt;=3.8,B106&lt;=6.2),"PASS","FAIL")
   )
)</f>
        <v/>
      </c>
      <c r="T112" s="58"/>
    </row>
    <row r="113" spans="1:21" ht="13" x14ac:dyDescent="0.3">
      <c r="A113" s="353"/>
      <c r="B113" s="355"/>
      <c r="C113" s="355"/>
      <c r="D113" s="355"/>
      <c r="E113" s="355"/>
      <c r="F113" s="393"/>
      <c r="G113" s="105" t="s">
        <v>5</v>
      </c>
      <c r="H113" s="159">
        <f>A115+I116</f>
        <v>0</v>
      </c>
      <c r="I113" s="27"/>
      <c r="J113" s="210"/>
      <c r="K113" s="210"/>
      <c r="L113" s="195"/>
      <c r="M113" s="106" t="str">
        <f t="shared" ref="M113:M114" si="53">IF(OR(J116&gt;=L116, ISBLANK(J116)),"Pass","Fail")</f>
        <v>Pass</v>
      </c>
      <c r="N113" s="336"/>
      <c r="O113" s="336"/>
      <c r="P113" s="339"/>
      <c r="Q113" s="342"/>
      <c r="R113" s="342"/>
      <c r="S113" s="339"/>
      <c r="T113" s="30"/>
      <c r="U113" s="365"/>
    </row>
    <row r="114" spans="1:21" ht="13.5" thickBot="1" x14ac:dyDescent="0.35">
      <c r="A114" s="354"/>
      <c r="B114" s="356"/>
      <c r="C114" s="356"/>
      <c r="D114" s="355"/>
      <c r="E114" s="420"/>
      <c r="F114" s="393"/>
      <c r="G114" s="107" t="s">
        <v>42</v>
      </c>
      <c r="H114" s="59">
        <f>A115+I117</f>
        <v>0</v>
      </c>
      <c r="I114" s="12"/>
      <c r="J114" s="212"/>
      <c r="K114" s="212"/>
      <c r="L114" s="196"/>
      <c r="M114" s="109" t="str">
        <f t="shared" si="53"/>
        <v>Pass</v>
      </c>
      <c r="N114" s="337"/>
      <c r="O114" s="337"/>
      <c r="P114" s="340"/>
      <c r="Q114" s="343"/>
      <c r="R114" s="343"/>
      <c r="S114" s="340"/>
      <c r="T114" s="14"/>
      <c r="U114" s="365"/>
    </row>
    <row r="115" spans="1:21" ht="13.5" customHeight="1" thickTop="1" x14ac:dyDescent="0.3">
      <c r="A115" s="358"/>
      <c r="B115" s="350"/>
      <c r="C115" s="267"/>
      <c r="D115" s="350"/>
      <c r="E115" s="350"/>
      <c r="F115" s="360"/>
      <c r="G115" s="37" t="s">
        <v>4</v>
      </c>
      <c r="H115" s="62">
        <f>A118+I118</f>
        <v>0</v>
      </c>
      <c r="I115" s="37"/>
      <c r="J115" s="213"/>
      <c r="K115" s="213"/>
      <c r="L115" s="213"/>
      <c r="M115" s="93"/>
      <c r="N115" s="367"/>
      <c r="O115" s="367"/>
      <c r="P115" s="332" t="str">
        <f t="shared" si="50"/>
        <v/>
      </c>
      <c r="Q115" s="330"/>
      <c r="R115" s="330"/>
      <c r="S115" s="332" t="str">
        <f>IF(Q115="","",
   IF(OR(E115=572648,E115=57180),
      IF(Q115&lt;=3,"PASS","FAIL"),
      IF(AND(Q115&gt;=3.8,B109&lt;=6.2),"PASS","FAIL")
   )
)</f>
        <v/>
      </c>
      <c r="T115" s="40"/>
      <c r="U115" s="365"/>
    </row>
    <row r="116" spans="1:21" ht="13" x14ac:dyDescent="0.3">
      <c r="A116" s="358"/>
      <c r="B116" s="351"/>
      <c r="C116" s="265"/>
      <c r="D116" s="351"/>
      <c r="E116" s="351"/>
      <c r="F116" s="361"/>
      <c r="G116" s="101" t="s">
        <v>5</v>
      </c>
      <c r="H116" s="122">
        <f>A118+I119</f>
        <v>0</v>
      </c>
      <c r="I116" s="90"/>
      <c r="J116" s="198"/>
      <c r="K116" s="198"/>
      <c r="L116" s="198"/>
      <c r="M116" s="93" t="str">
        <f t="shared" ref="M116:M117" si="54">IF(OR(J119&gt;=L119, ISBLANK(J119)),"Pass","Fail")</f>
        <v>Pass</v>
      </c>
      <c r="N116" s="367"/>
      <c r="O116" s="367"/>
      <c r="P116" s="333"/>
      <c r="Q116" s="330"/>
      <c r="R116" s="330"/>
      <c r="S116" s="333"/>
      <c r="T116" s="92"/>
    </row>
    <row r="117" spans="1:21" ht="13.5" thickBot="1" x14ac:dyDescent="0.35">
      <c r="A117" s="359"/>
      <c r="B117" s="352"/>
      <c r="C117" s="266"/>
      <c r="D117" s="352"/>
      <c r="E117" s="352"/>
      <c r="F117" s="362"/>
      <c r="G117" s="41" t="s">
        <v>42</v>
      </c>
      <c r="H117" s="122">
        <f>A118+I120</f>
        <v>0</v>
      </c>
      <c r="I117" s="41"/>
      <c r="J117" s="205"/>
      <c r="K117" s="213"/>
      <c r="L117" s="208"/>
      <c r="M117" s="81" t="str">
        <f t="shared" si="54"/>
        <v>Pass</v>
      </c>
      <c r="N117" s="368"/>
      <c r="O117" s="368"/>
      <c r="P117" s="334"/>
      <c r="Q117" s="331"/>
      <c r="R117" s="331"/>
      <c r="S117" s="334"/>
      <c r="T117" s="40"/>
    </row>
    <row r="118" spans="1:21" ht="13.5" thickTop="1" x14ac:dyDescent="0.3">
      <c r="A118" s="386"/>
      <c r="B118" s="344"/>
      <c r="C118" s="268"/>
      <c r="D118" s="344"/>
      <c r="E118" s="344"/>
      <c r="F118" s="346"/>
      <c r="G118" s="27" t="s">
        <v>4</v>
      </c>
      <c r="H118" s="159">
        <f>A121+I121</f>
        <v>0</v>
      </c>
      <c r="I118" s="238"/>
      <c r="J118" s="305"/>
      <c r="K118" s="305"/>
      <c r="L118" s="303"/>
      <c r="M118" s="79"/>
      <c r="N118" s="341"/>
      <c r="O118" s="341"/>
      <c r="P118" s="338" t="str">
        <f t="shared" si="52"/>
        <v/>
      </c>
      <c r="Q118" s="341"/>
      <c r="R118" s="341"/>
      <c r="S118" s="338" t="str">
        <f>IF(Q118="","",
   IF(OR(E118=572648,E118=57180),
      IF(Q118&lt;=3,"PASS","FAIL"),
      IF(AND(Q118&gt;=3.8,B112&lt;=6.2),"PASS","FAIL")
   )
)</f>
        <v/>
      </c>
      <c r="T118" s="249"/>
    </row>
    <row r="119" spans="1:21" ht="13" x14ac:dyDescent="0.3">
      <c r="A119" s="387"/>
      <c r="B119" s="345"/>
      <c r="C119" s="220"/>
      <c r="D119" s="345"/>
      <c r="E119" s="345"/>
      <c r="F119" s="347"/>
      <c r="G119" s="105" t="s">
        <v>5</v>
      </c>
      <c r="H119" s="159">
        <f>A121+I122</f>
        <v>0</v>
      </c>
      <c r="I119" s="230"/>
      <c r="J119" s="296"/>
      <c r="K119" s="296"/>
      <c r="L119" s="291"/>
      <c r="M119" s="106" t="str">
        <f t="shared" ref="M119:M120" si="55">IF(OR(J122&gt;=L122, ISBLANK(J122)),"Pass","Fail")</f>
        <v>Pass</v>
      </c>
      <c r="N119" s="342"/>
      <c r="O119" s="342"/>
      <c r="P119" s="339"/>
      <c r="Q119" s="342"/>
      <c r="R119" s="342"/>
      <c r="S119" s="339"/>
      <c r="T119" s="242"/>
    </row>
    <row r="120" spans="1:21" ht="13.5" thickBot="1" x14ac:dyDescent="0.35">
      <c r="A120" s="388"/>
      <c r="B120" s="364"/>
      <c r="C120" s="221"/>
      <c r="D120" s="364"/>
      <c r="E120" s="364"/>
      <c r="F120" s="385"/>
      <c r="G120" s="107" t="s">
        <v>42</v>
      </c>
      <c r="H120" s="59">
        <f>A121+I123</f>
        <v>0</v>
      </c>
      <c r="I120" s="234"/>
      <c r="J120" s="301"/>
      <c r="K120" s="301"/>
      <c r="L120" s="292"/>
      <c r="M120" s="109" t="str">
        <f t="shared" si="55"/>
        <v>Pass</v>
      </c>
      <c r="N120" s="343"/>
      <c r="O120" s="343"/>
      <c r="P120" s="340"/>
      <c r="Q120" s="343"/>
      <c r="R120" s="343"/>
      <c r="S120" s="340"/>
      <c r="T120" s="147"/>
    </row>
    <row r="121" spans="1:21" ht="13.5" thickTop="1" x14ac:dyDescent="0.3">
      <c r="A121" s="357"/>
      <c r="B121" s="350"/>
      <c r="C121" s="267"/>
      <c r="D121" s="350"/>
      <c r="E121" s="350"/>
      <c r="F121" s="360"/>
      <c r="G121" s="37" t="s">
        <v>4</v>
      </c>
      <c r="H121" s="62">
        <f>A124+I124</f>
        <v>0</v>
      </c>
      <c r="I121" s="185"/>
      <c r="J121" s="207"/>
      <c r="K121" s="207"/>
      <c r="L121" s="207"/>
      <c r="M121" s="93"/>
      <c r="N121" s="329"/>
      <c r="O121" s="329"/>
      <c r="P121" s="332" t="str">
        <f t="shared" si="50"/>
        <v/>
      </c>
      <c r="Q121" s="329"/>
      <c r="R121" s="329"/>
      <c r="S121" s="332" t="str">
        <f>IF(Q121="","",
   IF(OR(E121=572648,E121=57180),
      IF(Q121&lt;=3,"PASS","FAIL"),
      IF(AND(Q121&gt;=3.8,B115&lt;=6.2),"PASS","FAIL")
   )
)</f>
        <v/>
      </c>
      <c r="T121" s="49"/>
    </row>
    <row r="122" spans="1:21" ht="13" x14ac:dyDescent="0.3">
      <c r="A122" s="358"/>
      <c r="B122" s="351"/>
      <c r="C122" s="265"/>
      <c r="D122" s="351"/>
      <c r="E122" s="351"/>
      <c r="F122" s="361"/>
      <c r="G122" s="101" t="s">
        <v>5</v>
      </c>
      <c r="H122" s="122">
        <f>A124+I125</f>
        <v>0</v>
      </c>
      <c r="I122" s="186"/>
      <c r="J122" s="198"/>
      <c r="K122" s="198"/>
      <c r="L122" s="198"/>
      <c r="M122" s="93" t="str">
        <f t="shared" ref="M122:M123" si="56">IF(OR(J125&gt;=L125, ISBLANK(J125)),"Pass","Fail")</f>
        <v>Pass</v>
      </c>
      <c r="N122" s="330"/>
      <c r="O122" s="330"/>
      <c r="P122" s="333"/>
      <c r="Q122" s="330"/>
      <c r="R122" s="330"/>
      <c r="S122" s="333"/>
      <c r="T122" s="92"/>
    </row>
    <row r="123" spans="1:21" ht="13.5" thickBot="1" x14ac:dyDescent="0.35">
      <c r="A123" s="359"/>
      <c r="B123" s="352"/>
      <c r="C123" s="266"/>
      <c r="D123" s="352"/>
      <c r="E123" s="352"/>
      <c r="F123" s="362"/>
      <c r="G123" s="41" t="s">
        <v>42</v>
      </c>
      <c r="H123" s="122">
        <f>A124+I126</f>
        <v>0</v>
      </c>
      <c r="I123" s="187"/>
      <c r="J123" s="205"/>
      <c r="K123" s="205"/>
      <c r="L123" s="205"/>
      <c r="M123" s="81" t="str">
        <f t="shared" si="56"/>
        <v>Pass</v>
      </c>
      <c r="N123" s="331"/>
      <c r="O123" s="331"/>
      <c r="P123" s="334"/>
      <c r="Q123" s="331"/>
      <c r="R123" s="331"/>
      <c r="S123" s="334"/>
      <c r="T123" s="54"/>
    </row>
    <row r="124" spans="1:21" ht="13.5" thickTop="1" x14ac:dyDescent="0.3">
      <c r="A124" s="421"/>
      <c r="B124" s="424"/>
      <c r="C124" s="424"/>
      <c r="D124" s="424"/>
      <c r="E124" s="424"/>
      <c r="F124" s="346"/>
      <c r="G124" s="27" t="s">
        <v>4</v>
      </c>
      <c r="H124" s="159">
        <f>A127+I127</f>
        <v>0</v>
      </c>
      <c r="I124" s="17"/>
      <c r="J124" s="209"/>
      <c r="K124" s="200"/>
      <c r="L124" s="200"/>
      <c r="M124" s="79"/>
      <c r="N124" s="335"/>
      <c r="O124" s="335"/>
      <c r="P124" s="338" t="str">
        <f t="shared" si="52"/>
        <v/>
      </c>
      <c r="Q124" s="341"/>
      <c r="R124" s="341"/>
      <c r="S124" s="338" t="str">
        <f>IF(Q124="","",
   IF(OR(E124=572648,E124=57180),
      IF(Q124&lt;=3,"PASS","FAIL"),
      IF(AND(Q124&gt;=3.8,B118&lt;=6.2),"PASS","FAIL")
   )
)</f>
        <v/>
      </c>
      <c r="T124" s="58"/>
    </row>
    <row r="125" spans="1:21" ht="14.5" customHeight="1" x14ac:dyDescent="0.3">
      <c r="A125" s="422"/>
      <c r="B125" s="425"/>
      <c r="C125" s="425"/>
      <c r="D125" s="425"/>
      <c r="E125" s="425"/>
      <c r="F125" s="347"/>
      <c r="G125" s="105" t="s">
        <v>5</v>
      </c>
      <c r="H125" s="159">
        <f>A127+I128</f>
        <v>0</v>
      </c>
      <c r="I125" s="27"/>
      <c r="J125" s="210"/>
      <c r="K125" s="195"/>
      <c r="L125" s="195"/>
      <c r="M125" s="106" t="str">
        <f t="shared" ref="M125:M126" si="57">IF(OR(J128&gt;=L128, ISBLANK(J128)),"Pass","Fail")</f>
        <v>Pass</v>
      </c>
      <c r="N125" s="336"/>
      <c r="O125" s="336"/>
      <c r="P125" s="339"/>
      <c r="Q125" s="342"/>
      <c r="R125" s="342"/>
      <c r="S125" s="339"/>
      <c r="T125" s="30"/>
    </row>
    <row r="126" spans="1:21" ht="15" customHeight="1" thickBot="1" x14ac:dyDescent="0.35">
      <c r="A126" s="423"/>
      <c r="B126" s="420"/>
      <c r="C126" s="420"/>
      <c r="D126" s="420"/>
      <c r="E126" s="420"/>
      <c r="F126" s="385"/>
      <c r="G126" s="107" t="s">
        <v>42</v>
      </c>
      <c r="H126" s="59">
        <f>A127+I129</f>
        <v>0</v>
      </c>
      <c r="I126" s="12"/>
      <c r="J126" s="212"/>
      <c r="K126" s="196"/>
      <c r="L126" s="196"/>
      <c r="M126" s="109" t="str">
        <f t="shared" si="57"/>
        <v>Pass</v>
      </c>
      <c r="N126" s="337"/>
      <c r="O126" s="337"/>
      <c r="P126" s="340"/>
      <c r="Q126" s="343"/>
      <c r="R126" s="343"/>
      <c r="S126" s="340"/>
      <c r="T126" s="14"/>
    </row>
    <row r="127" spans="1:21" ht="15.75" customHeight="1" thickTop="1" x14ac:dyDescent="0.3">
      <c r="A127" s="358"/>
      <c r="B127" s="351"/>
      <c r="C127" s="265"/>
      <c r="D127" s="351"/>
      <c r="E127" s="351"/>
      <c r="F127" s="361"/>
      <c r="G127" s="37" t="s">
        <v>4</v>
      </c>
      <c r="H127" s="62">
        <f>A130+I130</f>
        <v>0</v>
      </c>
      <c r="I127" s="37"/>
      <c r="J127" s="213"/>
      <c r="K127" s="213"/>
      <c r="L127" s="213"/>
      <c r="M127" s="93"/>
      <c r="N127" s="330"/>
      <c r="O127" s="330"/>
      <c r="P127" s="332" t="str">
        <f t="shared" si="50"/>
        <v/>
      </c>
      <c r="Q127" s="330"/>
      <c r="R127" s="330"/>
      <c r="S127" s="333"/>
      <c r="T127" s="40"/>
    </row>
    <row r="128" spans="1:21" ht="15.75" customHeight="1" x14ac:dyDescent="0.3">
      <c r="A128" s="358"/>
      <c r="B128" s="351"/>
      <c r="C128" s="265"/>
      <c r="D128" s="351"/>
      <c r="E128" s="351"/>
      <c r="F128" s="361"/>
      <c r="G128" s="101" t="s">
        <v>5</v>
      </c>
      <c r="H128" s="122">
        <f>A130+I131</f>
        <v>0</v>
      </c>
      <c r="I128" s="90"/>
      <c r="J128" s="198"/>
      <c r="K128" s="198"/>
      <c r="L128" s="198"/>
      <c r="M128" s="93" t="str">
        <f t="shared" ref="M128:M129" si="58">IF(OR(J131&gt;=L131, ISBLANK(J131)),"Pass","Fail")</f>
        <v>Pass</v>
      </c>
      <c r="N128" s="330"/>
      <c r="O128" s="330"/>
      <c r="P128" s="333"/>
      <c r="Q128" s="330"/>
      <c r="R128" s="330"/>
      <c r="S128" s="333"/>
      <c r="T128" s="92"/>
    </row>
    <row r="129" spans="1:20" ht="15.75" customHeight="1" thickBot="1" x14ac:dyDescent="0.35">
      <c r="A129" s="359"/>
      <c r="B129" s="351"/>
      <c r="C129" s="265"/>
      <c r="D129" s="352"/>
      <c r="E129" s="352"/>
      <c r="F129" s="361"/>
      <c r="G129" s="41" t="s">
        <v>42</v>
      </c>
      <c r="H129" s="122">
        <f>A130+I132</f>
        <v>0</v>
      </c>
      <c r="I129" s="41"/>
      <c r="J129" s="205"/>
      <c r="K129" s="198"/>
      <c r="L129" s="198"/>
      <c r="M129" s="81" t="str">
        <f t="shared" si="58"/>
        <v>Pass</v>
      </c>
      <c r="N129" s="331"/>
      <c r="O129" s="331"/>
      <c r="P129" s="334"/>
      <c r="Q129" s="331"/>
      <c r="R129" s="331"/>
      <c r="S129" s="334"/>
      <c r="T129" s="92"/>
    </row>
    <row r="130" spans="1:20" ht="13.5" thickTop="1" x14ac:dyDescent="0.3">
      <c r="A130" s="386"/>
      <c r="B130" s="344"/>
      <c r="C130" s="268"/>
      <c r="D130" s="344"/>
      <c r="E130" s="344"/>
      <c r="F130" s="346"/>
      <c r="G130" s="27" t="s">
        <v>4</v>
      </c>
      <c r="H130" s="159">
        <f>A133+I133</f>
        <v>0</v>
      </c>
      <c r="I130" s="238"/>
      <c r="J130" s="305"/>
      <c r="K130" s="305"/>
      <c r="L130" s="305"/>
      <c r="M130" s="79"/>
      <c r="N130" s="341"/>
      <c r="O130" s="341"/>
      <c r="P130" s="338" t="str">
        <f t="shared" si="52"/>
        <v/>
      </c>
      <c r="Q130" s="341"/>
      <c r="R130" s="341"/>
      <c r="S130" s="338" t="str">
        <f>IF(Q130="","",
   IF(OR(E130=572648,E130=57180),
      IF(Q130&lt;=3,"PASS","FAIL"),
      IF(AND(Q130&gt;=3.8,B124&lt;=6.2),"PASS","FAIL")
   )
)</f>
        <v/>
      </c>
      <c r="T130" s="249"/>
    </row>
    <row r="131" spans="1:20" ht="13" x14ac:dyDescent="0.3">
      <c r="A131" s="387"/>
      <c r="B131" s="345"/>
      <c r="C131" s="220"/>
      <c r="D131" s="345"/>
      <c r="E131" s="345"/>
      <c r="F131" s="347"/>
      <c r="G131" s="105" t="s">
        <v>5</v>
      </c>
      <c r="H131" s="159">
        <f>A133+I134</f>
        <v>0</v>
      </c>
      <c r="I131" s="230"/>
      <c r="J131" s="296"/>
      <c r="K131" s="296"/>
      <c r="L131" s="316"/>
      <c r="M131" s="106" t="str">
        <f t="shared" ref="M131:M132" si="59">IF(OR(J134&gt;=L134, ISBLANK(J134)),"Pass","Fail")</f>
        <v>Pass</v>
      </c>
      <c r="N131" s="342"/>
      <c r="O131" s="342"/>
      <c r="P131" s="339"/>
      <c r="Q131" s="342"/>
      <c r="R131" s="342"/>
      <c r="S131" s="339"/>
      <c r="T131" s="258"/>
    </row>
    <row r="132" spans="1:20" ht="13.5" thickBot="1" x14ac:dyDescent="0.35">
      <c r="A132" s="218"/>
      <c r="B132" s="220"/>
      <c r="C132" s="220"/>
      <c r="D132" s="220"/>
      <c r="E132" s="220"/>
      <c r="F132" s="223"/>
      <c r="G132" s="107" t="s">
        <v>42</v>
      </c>
      <c r="H132" s="59">
        <f>A133+I135</f>
        <v>0</v>
      </c>
      <c r="I132" s="230"/>
      <c r="K132" s="296"/>
      <c r="L132" s="296"/>
      <c r="M132" s="109" t="str">
        <f t="shared" si="59"/>
        <v>Pass</v>
      </c>
      <c r="N132" s="264"/>
      <c r="O132" s="264"/>
      <c r="P132" s="340"/>
      <c r="Q132" s="264"/>
      <c r="R132" s="264"/>
      <c r="S132" s="340"/>
      <c r="T132" s="258"/>
    </row>
    <row r="133" spans="1:20" ht="13.5" thickTop="1" x14ac:dyDescent="0.3">
      <c r="A133" s="357"/>
      <c r="B133" s="350"/>
      <c r="C133" s="267"/>
      <c r="D133" s="350"/>
      <c r="E133" s="350"/>
      <c r="F133" s="360"/>
      <c r="G133" s="37" t="s">
        <v>4</v>
      </c>
      <c r="H133" s="62">
        <f>A136+I136</f>
        <v>0</v>
      </c>
      <c r="I133" s="185"/>
      <c r="J133" s="207"/>
      <c r="K133" s="207"/>
      <c r="L133" s="207"/>
      <c r="M133" s="93"/>
      <c r="N133" s="329"/>
      <c r="O133" s="329"/>
      <c r="P133" s="332" t="str">
        <f t="shared" si="50"/>
        <v/>
      </c>
      <c r="Q133" s="329"/>
      <c r="R133" s="329"/>
      <c r="S133" s="333"/>
      <c r="T133" s="49"/>
    </row>
    <row r="134" spans="1:20" ht="13" x14ac:dyDescent="0.3">
      <c r="A134" s="358"/>
      <c r="B134" s="351"/>
      <c r="C134" s="265"/>
      <c r="D134" s="351"/>
      <c r="E134" s="351"/>
      <c r="F134" s="361"/>
      <c r="G134" s="101" t="s">
        <v>5</v>
      </c>
      <c r="H134" s="122">
        <f>A136+I137</f>
        <v>0</v>
      </c>
      <c r="I134" s="186"/>
      <c r="J134" s="198"/>
      <c r="K134" s="198"/>
      <c r="L134" s="317"/>
      <c r="M134" s="93" t="str">
        <f t="shared" ref="M134:M135" si="60">IF(OR(J137&gt;=L137, ISBLANK(J137)),"Pass","Fail")</f>
        <v>Pass</v>
      </c>
      <c r="N134" s="330"/>
      <c r="O134" s="330"/>
      <c r="P134" s="333"/>
      <c r="Q134" s="330"/>
      <c r="R134" s="330"/>
      <c r="S134" s="333"/>
      <c r="T134" s="92"/>
    </row>
    <row r="135" spans="1:20" ht="14.25" customHeight="1" thickBot="1" x14ac:dyDescent="0.35">
      <c r="A135" s="359"/>
      <c r="B135" s="352"/>
      <c r="C135" s="266"/>
      <c r="D135" s="352"/>
      <c r="E135" s="352"/>
      <c r="F135" s="362"/>
      <c r="G135" s="41" t="s">
        <v>42</v>
      </c>
      <c r="H135" s="122">
        <f>A136+I138</f>
        <v>0</v>
      </c>
      <c r="I135" s="50"/>
      <c r="J135" s="205"/>
      <c r="K135" s="205"/>
      <c r="L135" s="205"/>
      <c r="M135" s="81" t="str">
        <f t="shared" si="60"/>
        <v>Pass</v>
      </c>
      <c r="N135" s="331"/>
      <c r="O135" s="331"/>
      <c r="P135" s="334"/>
      <c r="Q135" s="331"/>
      <c r="R135" s="331"/>
      <c r="S135" s="334"/>
      <c r="T135" s="92"/>
    </row>
    <row r="136" spans="1:20" ht="13.5" thickTop="1" x14ac:dyDescent="0.3">
      <c r="A136" s="353"/>
      <c r="B136" s="355"/>
      <c r="C136" s="355"/>
      <c r="D136" s="345"/>
      <c r="E136" s="345"/>
      <c r="F136" s="393"/>
      <c r="G136" s="27" t="s">
        <v>4</v>
      </c>
      <c r="H136" s="159">
        <f>A139+I139</f>
        <v>0</v>
      </c>
      <c r="I136" s="9"/>
      <c r="J136" s="211"/>
      <c r="K136" s="197"/>
      <c r="L136" s="197"/>
      <c r="M136" s="79"/>
      <c r="N136" s="348"/>
      <c r="O136" s="348"/>
      <c r="P136" s="338" t="str">
        <f t="shared" si="52"/>
        <v/>
      </c>
      <c r="Q136" s="348"/>
      <c r="R136" s="348"/>
      <c r="S136" s="338" t="str">
        <f>IF(Q136="","",
   IF(OR(E136=572648,E136=57180),
      IF(Q136&lt;=3,"PASS","FAIL"),
      IF(AND(Q136&gt;=3.8,B130&lt;=6.2),"PASS","FAIL")
   )
)</f>
        <v/>
      </c>
      <c r="T136" s="78"/>
    </row>
    <row r="137" spans="1:20" ht="13" x14ac:dyDescent="0.3">
      <c r="A137" s="353"/>
      <c r="B137" s="355"/>
      <c r="C137" s="355"/>
      <c r="D137" s="345"/>
      <c r="E137" s="345"/>
      <c r="F137" s="393"/>
      <c r="G137" s="105" t="s">
        <v>5</v>
      </c>
      <c r="H137" s="159">
        <f>A139+I140</f>
        <v>0</v>
      </c>
      <c r="I137" s="27"/>
      <c r="J137" s="210"/>
      <c r="K137" s="195"/>
      <c r="L137" s="195"/>
      <c r="M137" s="106" t="str">
        <f t="shared" ref="M137:M138" si="61">IF(OR(J140&gt;=L140, ISBLANK(J140)),"Pass","Fail")</f>
        <v>Pass</v>
      </c>
      <c r="N137" s="348"/>
      <c r="O137" s="348"/>
      <c r="P137" s="339"/>
      <c r="Q137" s="348"/>
      <c r="R137" s="348"/>
      <c r="S137" s="339"/>
      <c r="T137" s="30"/>
    </row>
    <row r="138" spans="1:20" ht="13.5" thickBot="1" x14ac:dyDescent="0.35">
      <c r="A138" s="354"/>
      <c r="B138" s="355"/>
      <c r="C138" s="355"/>
      <c r="D138" s="364"/>
      <c r="E138" s="364"/>
      <c r="F138" s="393"/>
      <c r="G138" s="107" t="s">
        <v>42</v>
      </c>
      <c r="H138" s="59">
        <f>A139+I141</f>
        <v>0</v>
      </c>
      <c r="I138" s="12"/>
      <c r="J138" s="212"/>
      <c r="K138" s="196"/>
      <c r="L138" s="196"/>
      <c r="M138" s="109" t="str">
        <f t="shared" si="61"/>
        <v>Pass</v>
      </c>
      <c r="N138" s="349"/>
      <c r="O138" s="349"/>
      <c r="P138" s="340"/>
      <c r="Q138" s="349"/>
      <c r="R138" s="349"/>
      <c r="S138" s="340"/>
      <c r="T138" s="30"/>
    </row>
    <row r="139" spans="1:20" ht="13.5" thickTop="1" x14ac:dyDescent="0.3">
      <c r="A139" s="358"/>
      <c r="B139" s="350"/>
      <c r="C139" s="267"/>
      <c r="D139" s="350"/>
      <c r="E139" s="350"/>
      <c r="F139" s="360"/>
      <c r="G139" s="37" t="s">
        <v>4</v>
      </c>
      <c r="H139" s="62">
        <f>A142+I142</f>
        <v>0</v>
      </c>
      <c r="I139" s="37"/>
      <c r="J139" s="213"/>
      <c r="K139" s="213"/>
      <c r="L139" s="213"/>
      <c r="M139" s="93"/>
      <c r="N139" s="370"/>
      <c r="O139" s="370"/>
      <c r="P139" s="332" t="str">
        <f t="shared" si="50"/>
        <v/>
      </c>
      <c r="Q139" s="370"/>
      <c r="R139" s="370"/>
      <c r="S139" s="333"/>
      <c r="T139" s="40"/>
    </row>
    <row r="140" spans="1:20" ht="13" x14ac:dyDescent="0.3">
      <c r="A140" s="358"/>
      <c r="B140" s="351"/>
      <c r="C140" s="265"/>
      <c r="D140" s="351"/>
      <c r="E140" s="351"/>
      <c r="F140" s="361"/>
      <c r="G140" s="101" t="s">
        <v>5</v>
      </c>
      <c r="H140" s="122">
        <f>A142+I143</f>
        <v>0</v>
      </c>
      <c r="I140" s="90"/>
      <c r="J140" s="198"/>
      <c r="K140" s="198"/>
      <c r="L140" s="198"/>
      <c r="M140" s="93" t="str">
        <f t="shared" ref="M140:M141" si="62">IF(OR(J143&gt;=L143, ISBLANK(J143)),"Pass","Fail")</f>
        <v>Pass</v>
      </c>
      <c r="N140" s="330"/>
      <c r="O140" s="330"/>
      <c r="P140" s="333"/>
      <c r="Q140" s="330"/>
      <c r="R140" s="330"/>
      <c r="S140" s="333"/>
      <c r="T140" s="92"/>
    </row>
    <row r="141" spans="1:20" ht="13.5" thickBot="1" x14ac:dyDescent="0.35">
      <c r="A141" s="359"/>
      <c r="B141" s="351"/>
      <c r="C141" s="265"/>
      <c r="D141" s="352"/>
      <c r="E141" s="352"/>
      <c r="F141" s="361"/>
      <c r="G141" s="41" t="s">
        <v>42</v>
      </c>
      <c r="H141" s="122">
        <f>A142+I144</f>
        <v>0</v>
      </c>
      <c r="I141" s="50"/>
      <c r="J141" s="205"/>
      <c r="K141" s="205"/>
      <c r="L141" s="205"/>
      <c r="M141" s="81" t="str">
        <f t="shared" si="62"/>
        <v>Pass</v>
      </c>
      <c r="N141" s="331"/>
      <c r="O141" s="331"/>
      <c r="P141" s="334"/>
      <c r="Q141" s="331"/>
      <c r="R141" s="331"/>
      <c r="S141" s="334"/>
      <c r="T141" s="92"/>
    </row>
    <row r="142" spans="1:20" ht="13.5" thickTop="1" x14ac:dyDescent="0.3">
      <c r="A142" s="353"/>
      <c r="B142" s="417"/>
      <c r="C142" s="417"/>
      <c r="D142" s="344"/>
      <c r="E142" s="344"/>
      <c r="F142" s="418"/>
      <c r="G142" s="27" t="s">
        <v>4</v>
      </c>
      <c r="H142" s="159">
        <f>A145+I145</f>
        <v>0</v>
      </c>
      <c r="I142" s="9"/>
      <c r="J142" s="211"/>
      <c r="K142" s="197"/>
      <c r="L142" s="197"/>
      <c r="M142" s="79"/>
      <c r="N142" s="380"/>
      <c r="O142" s="380"/>
      <c r="P142" s="338" t="str">
        <f t="shared" si="52"/>
        <v/>
      </c>
      <c r="Q142" s="380"/>
      <c r="R142" s="380"/>
      <c r="S142" s="338" t="str">
        <f>IF(Q142="","",
   IF(OR(E142=572648,E142=57180),
      IF(Q142&lt;=3,"PASS","FAIL"),
      IF(AND(Q142&gt;=3.8,B136&lt;=6.2),"PASS","FAIL")
   )
)</f>
        <v/>
      </c>
      <c r="T142" s="78"/>
    </row>
    <row r="143" spans="1:20" ht="13" x14ac:dyDescent="0.3">
      <c r="A143" s="353"/>
      <c r="B143" s="355"/>
      <c r="C143" s="355"/>
      <c r="D143" s="345"/>
      <c r="E143" s="345"/>
      <c r="F143" s="393"/>
      <c r="G143" s="105" t="s">
        <v>5</v>
      </c>
      <c r="H143" s="159">
        <f>A145+I146</f>
        <v>0</v>
      </c>
      <c r="I143" s="27"/>
      <c r="J143" s="210"/>
      <c r="K143" s="195"/>
      <c r="L143" s="195"/>
      <c r="M143" s="106" t="str">
        <f t="shared" ref="M143:M144" si="63">IF(OR(J146&gt;=L146, ISBLANK(J146)),"Pass","Fail")</f>
        <v>Pass</v>
      </c>
      <c r="N143" s="348"/>
      <c r="O143" s="348"/>
      <c r="P143" s="339"/>
      <c r="Q143" s="348"/>
      <c r="R143" s="348"/>
      <c r="S143" s="339"/>
      <c r="T143" s="30"/>
    </row>
    <row r="144" spans="1:20" ht="13.5" thickBot="1" x14ac:dyDescent="0.35">
      <c r="A144" s="354"/>
      <c r="B144" s="355"/>
      <c r="C144" s="356"/>
      <c r="D144" s="364"/>
      <c r="E144" s="364"/>
      <c r="F144" s="394"/>
      <c r="G144" s="107" t="s">
        <v>42</v>
      </c>
      <c r="H144" s="59">
        <f>A145+I147</f>
        <v>0</v>
      </c>
      <c r="I144" s="12"/>
      <c r="J144" s="212"/>
      <c r="K144" s="196"/>
      <c r="L144" s="196"/>
      <c r="M144" s="109" t="str">
        <f t="shared" si="63"/>
        <v>Pass</v>
      </c>
      <c r="N144" s="349"/>
      <c r="O144" s="349"/>
      <c r="P144" s="340"/>
      <c r="Q144" s="349"/>
      <c r="R144" s="349"/>
      <c r="S144" s="340"/>
      <c r="T144" s="30"/>
    </row>
    <row r="145" spans="1:20" ht="13.5" thickTop="1" x14ac:dyDescent="0.3">
      <c r="A145" s="358"/>
      <c r="B145" s="350"/>
      <c r="C145" s="265"/>
      <c r="D145" s="351"/>
      <c r="E145" s="351"/>
      <c r="F145" s="361"/>
      <c r="G145" s="37" t="s">
        <v>4</v>
      </c>
      <c r="H145" s="62">
        <f>A148+I148</f>
        <v>0</v>
      </c>
      <c r="I145" s="37"/>
      <c r="J145" s="213"/>
      <c r="K145" s="213"/>
      <c r="L145" s="213"/>
      <c r="M145" s="93"/>
      <c r="N145" s="329"/>
      <c r="O145" s="329"/>
      <c r="P145" s="332" t="str">
        <f t="shared" si="50"/>
        <v/>
      </c>
      <c r="Q145" s="329"/>
      <c r="R145" s="329"/>
      <c r="S145" s="333"/>
      <c r="T145" s="40"/>
    </row>
    <row r="146" spans="1:20" ht="13" x14ac:dyDescent="0.3">
      <c r="A146" s="358"/>
      <c r="B146" s="351"/>
      <c r="C146" s="265"/>
      <c r="D146" s="351"/>
      <c r="E146" s="351"/>
      <c r="F146" s="361"/>
      <c r="G146" s="101" t="s">
        <v>5</v>
      </c>
      <c r="H146" s="122">
        <f>A148+I149</f>
        <v>0</v>
      </c>
      <c r="I146" s="90"/>
      <c r="J146" s="198"/>
      <c r="K146" s="198"/>
      <c r="L146" s="198"/>
      <c r="M146" s="93" t="str">
        <f t="shared" ref="M146:M147" si="64">IF(OR(J149&gt;=L149, ISBLANK(J149)),"Pass","Fail")</f>
        <v>Pass</v>
      </c>
      <c r="N146" s="330"/>
      <c r="O146" s="330"/>
      <c r="P146" s="333"/>
      <c r="Q146" s="330"/>
      <c r="R146" s="330"/>
      <c r="S146" s="333"/>
      <c r="T146" s="92"/>
    </row>
    <row r="147" spans="1:20" ht="13.5" thickBot="1" x14ac:dyDescent="0.35">
      <c r="A147" s="359"/>
      <c r="B147" s="352"/>
      <c r="C147" s="266"/>
      <c r="D147" s="352"/>
      <c r="E147" s="352"/>
      <c r="F147" s="362"/>
      <c r="G147" s="41" t="s">
        <v>42</v>
      </c>
      <c r="H147" s="122">
        <f>A148+I150</f>
        <v>0</v>
      </c>
      <c r="I147" s="50"/>
      <c r="J147" s="205"/>
      <c r="K147" s="205"/>
      <c r="L147" s="205"/>
      <c r="M147" s="81" t="str">
        <f t="shared" si="64"/>
        <v>Pass</v>
      </c>
      <c r="N147" s="331"/>
      <c r="O147" s="331"/>
      <c r="P147" s="334"/>
      <c r="Q147" s="331"/>
      <c r="R147" s="331"/>
      <c r="S147" s="334"/>
      <c r="T147" s="54"/>
    </row>
    <row r="148" spans="1:20" ht="13.5" thickTop="1" x14ac:dyDescent="0.3">
      <c r="A148" s="218"/>
      <c r="B148" s="220"/>
      <c r="C148" s="220"/>
      <c r="D148" s="345"/>
      <c r="E148" s="345"/>
      <c r="F148" s="223"/>
      <c r="G148" s="27" t="s">
        <v>4</v>
      </c>
      <c r="H148" s="159">
        <f>A151+I151</f>
        <v>0</v>
      </c>
      <c r="I148" s="145"/>
      <c r="J148" s="294"/>
      <c r="K148" s="294"/>
      <c r="L148" s="294"/>
      <c r="M148" s="79"/>
      <c r="N148" s="341"/>
      <c r="O148" s="341"/>
      <c r="P148" s="338" t="str">
        <f t="shared" si="52"/>
        <v/>
      </c>
      <c r="Q148" s="341"/>
      <c r="R148" s="341"/>
      <c r="S148" s="338" t="str">
        <f>IF(Q148="","",
   IF(OR(E148=572648,E148=57180),
      IF(Q148&lt;=3,"PASS","FAIL"),
      IF(AND(Q148&gt;=3.8,B142&lt;=6.2),"PASS","FAIL")
   )
)</f>
        <v/>
      </c>
      <c r="T148" s="146"/>
    </row>
    <row r="149" spans="1:20" ht="13" x14ac:dyDescent="0.3">
      <c r="A149" s="259"/>
      <c r="B149" s="220"/>
      <c r="C149" s="220"/>
      <c r="D149" s="345"/>
      <c r="E149" s="345"/>
      <c r="F149" s="223"/>
      <c r="G149" s="105" t="s">
        <v>5</v>
      </c>
      <c r="H149" s="159">
        <f>A151+I152</f>
        <v>0</v>
      </c>
      <c r="I149" s="260"/>
      <c r="J149" s="296"/>
      <c r="K149" s="296"/>
      <c r="L149" s="296"/>
      <c r="M149" s="106" t="str">
        <f t="shared" ref="M149:M150" si="65">IF(OR(J152&gt;=L152, ISBLANK(J152)),"Pass","Fail")</f>
        <v>Pass</v>
      </c>
      <c r="N149" s="342"/>
      <c r="O149" s="342"/>
      <c r="P149" s="339"/>
      <c r="Q149" s="342"/>
      <c r="R149" s="342"/>
      <c r="S149" s="339"/>
      <c r="T149" s="146"/>
    </row>
    <row r="150" spans="1:20" ht="15" customHeight="1" thickBot="1" x14ac:dyDescent="0.35">
      <c r="A150" s="219"/>
      <c r="B150" s="221"/>
      <c r="C150" s="221"/>
      <c r="D150" s="364"/>
      <c r="E150" s="364"/>
      <c r="F150" s="224"/>
      <c r="G150" s="107" t="s">
        <v>42</v>
      </c>
      <c r="H150" s="59">
        <f>A151+I153</f>
        <v>0</v>
      </c>
      <c r="I150" s="261"/>
      <c r="J150" s="304"/>
      <c r="K150" s="304"/>
      <c r="L150" s="304"/>
      <c r="M150" s="109" t="str">
        <f t="shared" si="65"/>
        <v>Pass</v>
      </c>
      <c r="N150" s="343"/>
      <c r="O150" s="343"/>
      <c r="P150" s="340"/>
      <c r="Q150" s="343"/>
      <c r="R150" s="343"/>
      <c r="S150" s="340"/>
      <c r="T150" s="257"/>
    </row>
    <row r="151" spans="1:20" ht="13.5" thickTop="1" x14ac:dyDescent="0.3">
      <c r="A151" s="358"/>
      <c r="B151" s="351"/>
      <c r="C151" s="265"/>
      <c r="D151" s="351"/>
      <c r="E151" s="351"/>
      <c r="F151" s="361"/>
      <c r="G151" s="37" t="s">
        <v>4</v>
      </c>
      <c r="H151" s="62">
        <f>A154+I154</f>
        <v>0</v>
      </c>
      <c r="I151" s="37"/>
      <c r="J151" s="213"/>
      <c r="K151" s="213"/>
      <c r="L151" s="213"/>
      <c r="M151" s="93"/>
      <c r="N151" s="330"/>
      <c r="O151" s="330"/>
      <c r="P151" s="332" t="str">
        <f t="shared" si="50"/>
        <v/>
      </c>
      <c r="Q151" s="330"/>
      <c r="R151" s="330"/>
      <c r="S151" s="333"/>
      <c r="T151" s="40"/>
    </row>
    <row r="152" spans="1:20" ht="13" x14ac:dyDescent="0.3">
      <c r="A152" s="358"/>
      <c r="B152" s="351"/>
      <c r="C152" s="265"/>
      <c r="D152" s="351"/>
      <c r="E152" s="351"/>
      <c r="F152" s="361"/>
      <c r="G152" s="101" t="s">
        <v>5</v>
      </c>
      <c r="H152" s="122">
        <f>A154+I155</f>
        <v>0</v>
      </c>
      <c r="I152" s="90"/>
      <c r="J152" s="198"/>
      <c r="K152" s="198"/>
      <c r="L152" s="198"/>
      <c r="M152" s="93" t="str">
        <f t="shared" ref="M152:M153" si="66">IF(OR(J155&gt;=L155, ISBLANK(J155)),"Pass","Fail")</f>
        <v>Pass</v>
      </c>
      <c r="N152" s="330"/>
      <c r="O152" s="330"/>
      <c r="P152" s="333"/>
      <c r="Q152" s="330"/>
      <c r="R152" s="330"/>
      <c r="S152" s="333"/>
      <c r="T152" s="92"/>
    </row>
    <row r="153" spans="1:20" ht="13.5" thickBot="1" x14ac:dyDescent="0.35">
      <c r="A153" s="359"/>
      <c r="B153" s="352"/>
      <c r="C153" s="266"/>
      <c r="D153" s="352"/>
      <c r="E153" s="352"/>
      <c r="F153" s="362"/>
      <c r="G153" s="41" t="s">
        <v>42</v>
      </c>
      <c r="H153" s="122">
        <f>A154+I156</f>
        <v>0</v>
      </c>
      <c r="I153" s="50"/>
      <c r="J153" s="205"/>
      <c r="K153" s="205"/>
      <c r="L153" s="205"/>
      <c r="M153" s="81" t="str">
        <f t="shared" si="66"/>
        <v>Pass</v>
      </c>
      <c r="N153" s="331"/>
      <c r="O153" s="331"/>
      <c r="P153" s="334"/>
      <c r="Q153" s="331"/>
      <c r="R153" s="331"/>
      <c r="S153" s="334"/>
      <c r="T153" s="54"/>
    </row>
    <row r="154" spans="1:20" ht="13.5" thickTop="1" x14ac:dyDescent="0.3">
      <c r="A154" s="387"/>
      <c r="B154" s="345"/>
      <c r="C154" s="220"/>
      <c r="D154" s="345"/>
      <c r="E154" s="345"/>
      <c r="F154" s="347"/>
      <c r="G154" s="27" t="s">
        <v>4</v>
      </c>
      <c r="H154" s="159">
        <f>A157+I157</f>
        <v>0</v>
      </c>
      <c r="I154" s="143"/>
      <c r="J154" s="293"/>
      <c r="K154" s="293"/>
      <c r="L154" s="293"/>
      <c r="M154" s="79"/>
      <c r="N154" s="342"/>
      <c r="O154" s="342"/>
      <c r="P154" s="338" t="str">
        <f t="shared" si="52"/>
        <v/>
      </c>
      <c r="Q154" s="342"/>
      <c r="R154" s="342"/>
      <c r="S154" s="338" t="str">
        <f>IF(Q154="","",
   IF(OR(E154=572648,E154=57180),
      IF(Q154&lt;=3,"PASS","FAIL"),
      IF(AND(Q154&gt;=3.8,B148&lt;=6.2),"PASS","FAIL")
   )
)</f>
        <v/>
      </c>
      <c r="T154" s="144"/>
    </row>
    <row r="155" spans="1:20" ht="13" x14ac:dyDescent="0.3">
      <c r="A155" s="387"/>
      <c r="B155" s="345"/>
      <c r="C155" s="220"/>
      <c r="D155" s="345"/>
      <c r="E155" s="345"/>
      <c r="F155" s="347"/>
      <c r="G155" s="105" t="s">
        <v>5</v>
      </c>
      <c r="H155" s="159">
        <f>A157+I158</f>
        <v>0</v>
      </c>
      <c r="I155" s="260"/>
      <c r="J155" s="296"/>
      <c r="K155" s="296"/>
      <c r="L155" s="296"/>
      <c r="M155" s="106" t="str">
        <f t="shared" ref="M155:M156" si="67">IF(OR(J158&gt;=L158, ISBLANK(J158)),"Pass","Fail")</f>
        <v>Pass</v>
      </c>
      <c r="N155" s="342"/>
      <c r="O155" s="342"/>
      <c r="P155" s="339"/>
      <c r="Q155" s="342"/>
      <c r="R155" s="342"/>
      <c r="S155" s="339"/>
      <c r="T155" s="242"/>
    </row>
    <row r="156" spans="1:20" ht="13.5" thickBot="1" x14ac:dyDescent="0.35">
      <c r="A156" s="388"/>
      <c r="B156" s="364"/>
      <c r="C156" s="221"/>
      <c r="D156" s="364"/>
      <c r="E156" s="364"/>
      <c r="F156" s="385"/>
      <c r="G156" s="107" t="s">
        <v>42</v>
      </c>
      <c r="H156" s="59">
        <f>A157+I159</f>
        <v>0</v>
      </c>
      <c r="I156" s="107"/>
      <c r="J156" s="301"/>
      <c r="K156" s="301"/>
      <c r="L156" s="301"/>
      <c r="M156" s="109" t="str">
        <f t="shared" si="67"/>
        <v>Pass</v>
      </c>
      <c r="N156" s="343"/>
      <c r="O156" s="343"/>
      <c r="P156" s="340"/>
      <c r="Q156" s="343"/>
      <c r="R156" s="343"/>
      <c r="S156" s="340"/>
      <c r="T156" s="147"/>
    </row>
    <row r="157" spans="1:20" ht="13.5" thickTop="1" x14ac:dyDescent="0.3">
      <c r="A157" s="358"/>
      <c r="B157" s="351"/>
      <c r="C157" s="265"/>
      <c r="D157" s="351"/>
      <c r="E157" s="351"/>
      <c r="F157" s="360"/>
      <c r="G157" s="37" t="s">
        <v>4</v>
      </c>
      <c r="H157" s="62">
        <f>A160+I160</f>
        <v>0</v>
      </c>
      <c r="I157" s="37"/>
      <c r="J157" s="213"/>
      <c r="K157" s="213"/>
      <c r="L157" s="213"/>
      <c r="M157" s="93"/>
      <c r="N157" s="330"/>
      <c r="O157" s="330"/>
      <c r="P157" s="332" t="str">
        <f t="shared" si="50"/>
        <v/>
      </c>
      <c r="Q157" s="330"/>
      <c r="R157" s="330"/>
      <c r="S157" s="333"/>
      <c r="T157" s="40"/>
    </row>
    <row r="158" spans="1:20" ht="13" x14ac:dyDescent="0.3">
      <c r="A158" s="358"/>
      <c r="B158" s="351"/>
      <c r="C158" s="265"/>
      <c r="D158" s="351"/>
      <c r="E158" s="351"/>
      <c r="F158" s="361"/>
      <c r="G158" s="101" t="s">
        <v>5</v>
      </c>
      <c r="H158" s="122">
        <f>A160+I161</f>
        <v>0</v>
      </c>
      <c r="I158" s="90"/>
      <c r="J158" s="198"/>
      <c r="K158" s="198"/>
      <c r="L158" s="198"/>
      <c r="M158" s="93" t="str">
        <f t="shared" ref="M158:M159" si="68">IF(OR(J161&gt;=L161, ISBLANK(J161)),"Pass","Fail")</f>
        <v>Pass</v>
      </c>
      <c r="N158" s="330"/>
      <c r="O158" s="330"/>
      <c r="P158" s="333"/>
      <c r="Q158" s="330"/>
      <c r="R158" s="330"/>
      <c r="S158" s="333"/>
      <c r="T158" s="92"/>
    </row>
    <row r="159" spans="1:20" ht="13.5" thickBot="1" x14ac:dyDescent="0.35">
      <c r="A159" s="358"/>
      <c r="B159" s="351"/>
      <c r="C159" s="265"/>
      <c r="D159" s="351"/>
      <c r="E159" s="351"/>
      <c r="F159" s="361"/>
      <c r="G159" s="41" t="s">
        <v>42</v>
      </c>
      <c r="H159" s="122">
        <f>A160+I162</f>
        <v>0</v>
      </c>
      <c r="I159" s="90"/>
      <c r="J159" s="198"/>
      <c r="K159" s="198"/>
      <c r="L159" s="198"/>
      <c r="M159" s="81" t="str">
        <f t="shared" si="68"/>
        <v>Pass</v>
      </c>
      <c r="N159" s="330"/>
      <c r="O159" s="330"/>
      <c r="P159" s="334"/>
      <c r="Q159" s="330"/>
      <c r="R159" s="330"/>
      <c r="S159" s="334"/>
      <c r="T159" s="92"/>
    </row>
    <row r="160" spans="1:20" ht="13.5" thickTop="1" x14ac:dyDescent="0.3">
      <c r="A160" s="363"/>
      <c r="B160" s="417"/>
      <c r="C160" s="417"/>
      <c r="D160" s="417"/>
      <c r="E160" s="417"/>
      <c r="F160" s="418"/>
      <c r="G160" s="27" t="s">
        <v>4</v>
      </c>
      <c r="H160" s="159">
        <f>A163+I163</f>
        <v>0</v>
      </c>
      <c r="I160" s="17"/>
      <c r="J160" s="200"/>
      <c r="K160" s="200"/>
      <c r="L160" s="200"/>
      <c r="M160" s="79"/>
      <c r="N160" s="335"/>
      <c r="O160" s="335"/>
      <c r="P160" s="338" t="str">
        <f t="shared" si="52"/>
        <v/>
      </c>
      <c r="Q160" s="341"/>
      <c r="R160" s="341"/>
      <c r="S160" s="338" t="str">
        <f>IF(Q160="","",
   IF(OR(E160=572648,E160=57180),
      IF(Q160&lt;=3,"PASS","FAIL"),
      IF(AND(Q160&gt;=3.8,B154&lt;=6.2),"PASS","FAIL")
   )
)</f>
        <v/>
      </c>
      <c r="T160" s="58"/>
    </row>
    <row r="161" spans="1:20" ht="14.5" customHeight="1" x14ac:dyDescent="0.3">
      <c r="A161" s="353"/>
      <c r="B161" s="355"/>
      <c r="C161" s="355"/>
      <c r="D161" s="355"/>
      <c r="E161" s="355"/>
      <c r="F161" s="393"/>
      <c r="G161" s="105" t="s">
        <v>5</v>
      </c>
      <c r="H161" s="159">
        <f>A163+I164</f>
        <v>0</v>
      </c>
      <c r="I161" s="27"/>
      <c r="J161" s="195"/>
      <c r="K161" s="195"/>
      <c r="L161" s="195"/>
      <c r="M161" s="106" t="str">
        <f t="shared" ref="M161:M162" si="69">IF(OR(J164&gt;=L164, ISBLANK(J164)),"Pass","Fail")</f>
        <v>Pass</v>
      </c>
      <c r="N161" s="336"/>
      <c r="O161" s="336"/>
      <c r="P161" s="339"/>
      <c r="Q161" s="342"/>
      <c r="R161" s="342"/>
      <c r="S161" s="339"/>
      <c r="T161" s="30"/>
    </row>
    <row r="162" spans="1:20" ht="14.5" customHeight="1" thickBot="1" x14ac:dyDescent="0.35">
      <c r="A162" s="353"/>
      <c r="B162" s="355"/>
      <c r="C162" s="355"/>
      <c r="D162" s="355"/>
      <c r="E162" s="355"/>
      <c r="F162" s="393"/>
      <c r="G162" s="107" t="s">
        <v>42</v>
      </c>
      <c r="H162" s="59">
        <f>A163+I165</f>
        <v>0</v>
      </c>
      <c r="I162" s="27"/>
      <c r="J162" s="195"/>
      <c r="K162" s="195"/>
      <c r="L162" s="195"/>
      <c r="M162" s="109" t="str">
        <f t="shared" si="69"/>
        <v>Pass</v>
      </c>
      <c r="N162" s="336"/>
      <c r="O162" s="336"/>
      <c r="P162" s="340"/>
      <c r="Q162" s="342"/>
      <c r="R162" s="342"/>
      <c r="S162" s="340"/>
      <c r="T162" s="30"/>
    </row>
    <row r="163" spans="1:20" ht="13.5" thickTop="1" x14ac:dyDescent="0.3">
      <c r="A163" s="357"/>
      <c r="B163" s="350"/>
      <c r="C163" s="267"/>
      <c r="D163" s="350"/>
      <c r="E163" s="350"/>
      <c r="F163" s="360"/>
      <c r="G163" s="37" t="s">
        <v>4</v>
      </c>
      <c r="H163" s="62">
        <f>A166+I166</f>
        <v>0</v>
      </c>
      <c r="I163" s="45"/>
      <c r="J163" s="207"/>
      <c r="K163" s="207"/>
      <c r="L163" s="207"/>
      <c r="M163" s="93"/>
      <c r="N163" s="366"/>
      <c r="O163" s="366"/>
      <c r="P163" s="332" t="str">
        <f t="shared" si="50"/>
        <v/>
      </c>
      <c r="Q163" s="329"/>
      <c r="R163" s="329"/>
      <c r="S163" s="333"/>
      <c r="T163" s="49"/>
    </row>
    <row r="164" spans="1:20" ht="14.5" customHeight="1" x14ac:dyDescent="0.3">
      <c r="A164" s="358"/>
      <c r="B164" s="351"/>
      <c r="C164" s="265"/>
      <c r="D164" s="351"/>
      <c r="E164" s="351"/>
      <c r="F164" s="361"/>
      <c r="G164" s="101" t="s">
        <v>5</v>
      </c>
      <c r="H164" s="122">
        <f>A166+I167</f>
        <v>0</v>
      </c>
      <c r="I164" s="90"/>
      <c r="J164" s="198"/>
      <c r="K164" s="198"/>
      <c r="L164" s="198"/>
      <c r="M164" s="93" t="str">
        <f t="shared" ref="M164:M165" si="70">IF(OR(J167&gt;=L167, ISBLANK(J167)),"Pass","Fail")</f>
        <v>Pass</v>
      </c>
      <c r="N164" s="367"/>
      <c r="O164" s="367"/>
      <c r="P164" s="333"/>
      <c r="Q164" s="330"/>
      <c r="R164" s="330"/>
      <c r="S164" s="333"/>
      <c r="T164" s="92"/>
    </row>
    <row r="165" spans="1:20" ht="14.5" customHeight="1" thickBot="1" x14ac:dyDescent="0.35">
      <c r="A165" s="358"/>
      <c r="B165" s="351"/>
      <c r="C165" s="265"/>
      <c r="D165" s="351"/>
      <c r="E165" s="351"/>
      <c r="F165" s="361"/>
      <c r="G165" s="41" t="s">
        <v>42</v>
      </c>
      <c r="H165" s="122">
        <f>A166+I168</f>
        <v>0</v>
      </c>
      <c r="I165" s="90"/>
      <c r="J165" s="198"/>
      <c r="K165" s="198"/>
      <c r="L165" s="198"/>
      <c r="M165" s="81" t="str">
        <f t="shared" si="70"/>
        <v>Pass</v>
      </c>
      <c r="N165" s="367"/>
      <c r="O165" s="367"/>
      <c r="P165" s="334"/>
      <c r="Q165" s="330"/>
      <c r="R165" s="330"/>
      <c r="S165" s="334"/>
      <c r="T165" s="92"/>
    </row>
    <row r="166" spans="1:20" ht="13.5" thickTop="1" x14ac:dyDescent="0.3">
      <c r="A166" s="363"/>
      <c r="B166" s="417"/>
      <c r="C166" s="417"/>
      <c r="D166" s="417"/>
      <c r="E166" s="417"/>
      <c r="F166" s="418"/>
      <c r="G166" s="27" t="s">
        <v>4</v>
      </c>
      <c r="H166" s="159">
        <f>A169+I169</f>
        <v>0</v>
      </c>
      <c r="I166" s="17"/>
      <c r="J166" s="200"/>
      <c r="K166" s="200"/>
      <c r="L166" s="200"/>
      <c r="M166" s="79"/>
      <c r="N166" s="335"/>
      <c r="O166" s="335"/>
      <c r="P166" s="338" t="str">
        <f t="shared" si="52"/>
        <v/>
      </c>
      <c r="Q166" s="341"/>
      <c r="R166" s="341"/>
      <c r="S166" s="338" t="str">
        <f>IF(Q166="","",
   IF(OR(E166=572648,E166=57180),
      IF(Q166&lt;=3,"PASS","FAIL"),
      IF(AND(Q166&gt;=3.8,B160&lt;=6.2),"PASS","FAIL")
   )
)</f>
        <v/>
      </c>
      <c r="T166" s="58"/>
    </row>
    <row r="167" spans="1:20" ht="14.5" customHeight="1" x14ac:dyDescent="0.3">
      <c r="A167" s="353"/>
      <c r="B167" s="355"/>
      <c r="C167" s="355"/>
      <c r="D167" s="355"/>
      <c r="E167" s="355"/>
      <c r="F167" s="393"/>
      <c r="G167" s="105" t="s">
        <v>5</v>
      </c>
      <c r="H167" s="159">
        <f>A169+I170</f>
        <v>0</v>
      </c>
      <c r="I167" s="27"/>
      <c r="J167" s="195"/>
      <c r="K167" s="195"/>
      <c r="L167" s="195"/>
      <c r="M167" s="106" t="str">
        <f t="shared" ref="M167:M168" si="71">IF(OR(J170&gt;=L170, ISBLANK(J170)),"Pass","Fail")</f>
        <v>Pass</v>
      </c>
      <c r="N167" s="336"/>
      <c r="O167" s="336"/>
      <c r="P167" s="339"/>
      <c r="Q167" s="342"/>
      <c r="R167" s="342"/>
      <c r="S167" s="339"/>
      <c r="T167" s="30"/>
    </row>
    <row r="168" spans="1:20" ht="14.5" customHeight="1" thickBot="1" x14ac:dyDescent="0.35">
      <c r="A168" s="353"/>
      <c r="B168" s="355"/>
      <c r="C168" s="355"/>
      <c r="D168" s="355"/>
      <c r="E168" s="355"/>
      <c r="F168" s="393"/>
      <c r="G168" s="107" t="s">
        <v>42</v>
      </c>
      <c r="H168" s="59">
        <f>A169+I171</f>
        <v>0</v>
      </c>
      <c r="I168" s="27"/>
      <c r="J168" s="195"/>
      <c r="K168" s="195"/>
      <c r="L168" s="195"/>
      <c r="M168" s="109" t="str">
        <f t="shared" si="71"/>
        <v>Pass</v>
      </c>
      <c r="N168" s="336"/>
      <c r="O168" s="336"/>
      <c r="P168" s="340"/>
      <c r="Q168" s="342"/>
      <c r="R168" s="342"/>
      <c r="S168" s="340"/>
      <c r="T168" s="30"/>
    </row>
    <row r="169" spans="1:20" ht="15" customHeight="1" thickTop="1" x14ac:dyDescent="0.3">
      <c r="A169" s="357"/>
      <c r="B169" s="350"/>
      <c r="C169" s="267"/>
      <c r="D169" s="350"/>
      <c r="E169" s="350"/>
      <c r="F169" s="360"/>
      <c r="G169" s="37" t="s">
        <v>4</v>
      </c>
      <c r="H169" s="62">
        <f>A172+I172</f>
        <v>0</v>
      </c>
      <c r="I169" s="45"/>
      <c r="J169" s="207"/>
      <c r="K169" s="207"/>
      <c r="L169" s="207"/>
      <c r="M169" s="93"/>
      <c r="N169" s="366"/>
      <c r="O169" s="366"/>
      <c r="P169" s="332" t="str">
        <f t="shared" si="50"/>
        <v/>
      </c>
      <c r="Q169" s="329"/>
      <c r="R169" s="329"/>
      <c r="S169" s="333"/>
      <c r="T169" s="49"/>
    </row>
    <row r="170" spans="1:20" ht="15" customHeight="1" x14ac:dyDescent="0.3">
      <c r="A170" s="358"/>
      <c r="B170" s="351"/>
      <c r="C170" s="265"/>
      <c r="D170" s="351"/>
      <c r="E170" s="351"/>
      <c r="F170" s="361"/>
      <c r="G170" s="101" t="s">
        <v>5</v>
      </c>
      <c r="H170" s="122">
        <f>A172+I173</f>
        <v>0</v>
      </c>
      <c r="I170" s="90"/>
      <c r="J170" s="198"/>
      <c r="K170" s="198"/>
      <c r="L170" s="198"/>
      <c r="M170" s="93" t="str">
        <f t="shared" ref="M170:M171" si="72">IF(OR(J173&gt;=L173, ISBLANK(J173)),"Pass","Fail")</f>
        <v>Pass</v>
      </c>
      <c r="N170" s="367"/>
      <c r="O170" s="367"/>
      <c r="P170" s="333"/>
      <c r="Q170" s="330"/>
      <c r="R170" s="330"/>
      <c r="S170" s="333"/>
      <c r="T170" s="92"/>
    </row>
    <row r="171" spans="1:20" ht="15" customHeight="1" thickBot="1" x14ac:dyDescent="0.35">
      <c r="A171" s="358"/>
      <c r="B171" s="351"/>
      <c r="C171" s="265"/>
      <c r="D171" s="351"/>
      <c r="E171" s="351"/>
      <c r="F171" s="361"/>
      <c r="G171" s="41" t="s">
        <v>42</v>
      </c>
      <c r="H171" s="122">
        <f>A172+I174</f>
        <v>0</v>
      </c>
      <c r="I171" s="90"/>
      <c r="J171" s="198"/>
      <c r="K171" s="318"/>
      <c r="L171" s="198"/>
      <c r="M171" s="81" t="str">
        <f t="shared" si="72"/>
        <v>Pass</v>
      </c>
      <c r="N171" s="367"/>
      <c r="O171" s="367"/>
      <c r="P171" s="334"/>
      <c r="Q171" s="330"/>
      <c r="R171" s="330"/>
      <c r="S171" s="334"/>
      <c r="T171" s="92"/>
    </row>
    <row r="172" spans="1:20" ht="15" customHeight="1" thickTop="1" x14ac:dyDescent="0.3">
      <c r="A172" s="363"/>
      <c r="B172" s="417"/>
      <c r="C172" s="417"/>
      <c r="D172" s="417"/>
      <c r="E172" s="417"/>
      <c r="F172" s="418"/>
      <c r="G172" s="27" t="s">
        <v>4</v>
      </c>
      <c r="H172" s="159">
        <f>A175+I175</f>
        <v>0</v>
      </c>
      <c r="I172" s="17"/>
      <c r="J172" s="200"/>
      <c r="K172" s="200"/>
      <c r="L172" s="200"/>
      <c r="M172" s="79"/>
      <c r="N172" s="335"/>
      <c r="O172" s="335"/>
      <c r="P172" s="338" t="str">
        <f t="shared" si="52"/>
        <v/>
      </c>
      <c r="Q172" s="341"/>
      <c r="R172" s="341"/>
      <c r="S172" s="338" t="str">
        <f>IF(Q172="","",
   IF(OR(E172=572648,E172=57180),
      IF(Q172&lt;=3,"PASS","FAIL"),
      IF(AND(Q172&gt;=3.8,B166&lt;=6.2),"PASS","FAIL")
   )
)</f>
        <v/>
      </c>
      <c r="T172" s="58"/>
    </row>
    <row r="173" spans="1:20" ht="15" customHeight="1" x14ac:dyDescent="0.3">
      <c r="A173" s="353"/>
      <c r="B173" s="355"/>
      <c r="C173" s="355"/>
      <c r="D173" s="355"/>
      <c r="E173" s="355"/>
      <c r="F173" s="393"/>
      <c r="G173" s="105" t="s">
        <v>5</v>
      </c>
      <c r="H173" s="159">
        <f>A175+I176</f>
        <v>0</v>
      </c>
      <c r="I173" s="27"/>
      <c r="J173" s="195"/>
      <c r="K173" s="195"/>
      <c r="L173" s="195"/>
      <c r="M173" s="106" t="str">
        <f t="shared" ref="M173:M174" si="73">IF(OR(J176&gt;=L176, ISBLANK(J176)),"Pass","Fail")</f>
        <v>Pass</v>
      </c>
      <c r="N173" s="336"/>
      <c r="O173" s="336"/>
      <c r="P173" s="339"/>
      <c r="Q173" s="342"/>
      <c r="R173" s="342"/>
      <c r="S173" s="339"/>
      <c r="T173" s="30"/>
    </row>
    <row r="174" spans="1:20" ht="15" customHeight="1" thickBot="1" x14ac:dyDescent="0.35">
      <c r="A174" s="354"/>
      <c r="B174" s="356"/>
      <c r="C174" s="356"/>
      <c r="D174" s="356"/>
      <c r="E174" s="356"/>
      <c r="F174" s="394"/>
      <c r="G174" s="107" t="s">
        <v>42</v>
      </c>
      <c r="H174" s="59">
        <f>A175+I177</f>
        <v>0</v>
      </c>
      <c r="I174" s="12"/>
      <c r="J174" s="196"/>
      <c r="K174" s="196"/>
      <c r="L174" s="196"/>
      <c r="M174" s="109" t="str">
        <f t="shared" si="73"/>
        <v>Pass</v>
      </c>
      <c r="N174" s="337"/>
      <c r="O174" s="337"/>
      <c r="P174" s="340"/>
      <c r="Q174" s="343"/>
      <c r="R174" s="343"/>
      <c r="S174" s="340"/>
      <c r="T174" s="14"/>
    </row>
    <row r="175" spans="1:20" ht="13.5" thickTop="1" x14ac:dyDescent="0.3">
      <c r="A175" s="358"/>
      <c r="B175" s="351"/>
      <c r="C175" s="265"/>
      <c r="D175" s="351"/>
      <c r="E175" s="351"/>
      <c r="F175" s="361"/>
      <c r="G175" s="37" t="s">
        <v>4</v>
      </c>
      <c r="H175" s="62">
        <f>A178+I178</f>
        <v>0</v>
      </c>
      <c r="I175" s="37"/>
      <c r="J175" s="213"/>
      <c r="K175" s="213"/>
      <c r="L175" s="213"/>
      <c r="M175" s="93"/>
      <c r="N175" s="330"/>
      <c r="O175" s="330"/>
      <c r="P175" s="332" t="str">
        <f t="shared" ref="P175:P181" si="74">IF(OR(ISBLANK(N175)),"",IF(AND(N175&lt;=5, 7&gt;=3),"Pass","Fail"))</f>
        <v/>
      </c>
      <c r="Q175" s="369"/>
      <c r="R175" s="369"/>
      <c r="S175" s="333"/>
      <c r="T175" s="40"/>
    </row>
    <row r="176" spans="1:20" ht="15" customHeight="1" x14ac:dyDescent="0.3">
      <c r="A176" s="358"/>
      <c r="B176" s="351"/>
      <c r="C176" s="265"/>
      <c r="D176" s="351"/>
      <c r="E176" s="351"/>
      <c r="F176" s="361"/>
      <c r="G176" s="101" t="s">
        <v>5</v>
      </c>
      <c r="H176" s="122">
        <f>A178+I179</f>
        <v>0</v>
      </c>
      <c r="I176" s="90"/>
      <c r="J176" s="198"/>
      <c r="K176" s="198"/>
      <c r="L176" s="198"/>
      <c r="M176" s="93" t="str">
        <f t="shared" ref="M176:M177" si="75">IF(OR(J179&gt;=L179, ISBLANK(J179)),"Pass","Fail")</f>
        <v>Pass</v>
      </c>
      <c r="N176" s="330"/>
      <c r="O176" s="330"/>
      <c r="P176" s="333"/>
      <c r="Q176" s="369"/>
      <c r="R176" s="369"/>
      <c r="S176" s="333"/>
      <c r="T176" s="92"/>
    </row>
    <row r="177" spans="1:20" ht="15" customHeight="1" thickBot="1" x14ac:dyDescent="0.35">
      <c r="A177" s="358"/>
      <c r="B177" s="351"/>
      <c r="C177" s="265"/>
      <c r="D177" s="351"/>
      <c r="E177" s="351"/>
      <c r="F177" s="361"/>
      <c r="G177" s="41" t="s">
        <v>42</v>
      </c>
      <c r="H177" s="122">
        <f>A178+I180</f>
        <v>0</v>
      </c>
      <c r="I177" s="90"/>
      <c r="J177" s="198"/>
      <c r="K177" s="198"/>
      <c r="L177" s="198"/>
      <c r="M177" s="81" t="str">
        <f t="shared" si="75"/>
        <v>Pass</v>
      </c>
      <c r="N177" s="330"/>
      <c r="O177" s="330"/>
      <c r="P177" s="334"/>
      <c r="Q177" s="369"/>
      <c r="R177" s="369"/>
      <c r="S177" s="334"/>
      <c r="T177" s="92"/>
    </row>
    <row r="178" spans="1:20" ht="15" customHeight="1" thickTop="1" x14ac:dyDescent="0.3">
      <c r="A178" s="363"/>
      <c r="B178" s="417"/>
      <c r="C178" s="417"/>
      <c r="D178" s="417"/>
      <c r="E178" s="417"/>
      <c r="F178" s="418"/>
      <c r="G178" s="27" t="s">
        <v>4</v>
      </c>
      <c r="H178" s="159">
        <f>A181+I181</f>
        <v>0</v>
      </c>
      <c r="I178" s="17"/>
      <c r="J178" s="200"/>
      <c r="K178" s="200"/>
      <c r="L178" s="200"/>
      <c r="M178" s="79"/>
      <c r="N178" s="335"/>
      <c r="O178" s="335"/>
      <c r="P178" s="338" t="str">
        <f t="shared" ref="P178:P184" si="76">IF(OR(ISBLANK(N178)),"",IF(AND(N178&lt;=5, 7&gt;=3),"Pass","Fail"))</f>
        <v/>
      </c>
      <c r="Q178" s="341"/>
      <c r="R178" s="341"/>
      <c r="S178" s="338" t="str">
        <f>IF(Q178="","",
   IF(OR(E178=572648,E178=57180),
      IF(Q178&lt;=3,"PASS","FAIL"),
      IF(AND(Q178&gt;=3.8,B172&lt;=6.2),"PASS","FAIL")
   )
)</f>
        <v/>
      </c>
      <c r="T178" s="58"/>
    </row>
    <row r="179" spans="1:20" ht="15" customHeight="1" x14ac:dyDescent="0.3">
      <c r="A179" s="353"/>
      <c r="B179" s="355"/>
      <c r="C179" s="355"/>
      <c r="D179" s="355"/>
      <c r="E179" s="355"/>
      <c r="F179" s="393"/>
      <c r="G179" s="105" t="s">
        <v>5</v>
      </c>
      <c r="H179" s="159">
        <f>A181+I182</f>
        <v>0</v>
      </c>
      <c r="I179" s="27"/>
      <c r="J179" s="195"/>
      <c r="K179" s="195"/>
      <c r="L179" s="195"/>
      <c r="M179" s="106" t="str">
        <f t="shared" ref="M179:M180" si="77">IF(OR(J182&gt;=L182, ISBLANK(J182)),"Pass","Fail")</f>
        <v>Pass</v>
      </c>
      <c r="N179" s="336"/>
      <c r="O179" s="336"/>
      <c r="P179" s="339"/>
      <c r="Q179" s="342"/>
      <c r="R179" s="342"/>
      <c r="S179" s="339"/>
      <c r="T179" s="30"/>
    </row>
    <row r="180" spans="1:20" ht="15" customHeight="1" thickBot="1" x14ac:dyDescent="0.35">
      <c r="A180" s="354"/>
      <c r="B180" s="356"/>
      <c r="C180" s="356"/>
      <c r="D180" s="356"/>
      <c r="E180" s="356"/>
      <c r="F180" s="394"/>
      <c r="G180" s="107" t="s">
        <v>42</v>
      </c>
      <c r="H180" s="59">
        <f>A181+I183</f>
        <v>0</v>
      </c>
      <c r="I180" s="12"/>
      <c r="J180" s="196"/>
      <c r="K180" s="196"/>
      <c r="L180" s="196"/>
      <c r="M180" s="109" t="str">
        <f t="shared" si="77"/>
        <v>Pass</v>
      </c>
      <c r="N180" s="337"/>
      <c r="O180" s="337"/>
      <c r="P180" s="340"/>
      <c r="Q180" s="343"/>
      <c r="R180" s="343"/>
      <c r="S180" s="340"/>
      <c r="T180" s="14"/>
    </row>
    <row r="181" spans="1:20" ht="13.5" thickTop="1" x14ac:dyDescent="0.3">
      <c r="A181" s="358"/>
      <c r="B181" s="351"/>
      <c r="C181" s="265"/>
      <c r="D181" s="351"/>
      <c r="E181" s="351"/>
      <c r="F181" s="361"/>
      <c r="G181" s="37" t="s">
        <v>4</v>
      </c>
      <c r="H181" s="62">
        <f>A184+I184</f>
        <v>0</v>
      </c>
      <c r="I181" s="45"/>
      <c r="J181" s="207"/>
      <c r="K181" s="207"/>
      <c r="L181" s="207"/>
      <c r="M181" s="93"/>
      <c r="N181" s="329"/>
      <c r="O181" s="329"/>
      <c r="P181" s="332" t="str">
        <f t="shared" si="74"/>
        <v/>
      </c>
      <c r="Q181" s="329"/>
      <c r="R181" s="329"/>
      <c r="S181" s="333"/>
      <c r="T181" s="49"/>
    </row>
    <row r="182" spans="1:20" ht="14.5" customHeight="1" x14ac:dyDescent="0.3">
      <c r="A182" s="358"/>
      <c r="B182" s="351"/>
      <c r="C182" s="265"/>
      <c r="D182" s="351"/>
      <c r="E182" s="351"/>
      <c r="F182" s="361"/>
      <c r="G182" s="101" t="s">
        <v>5</v>
      </c>
      <c r="H182" s="122">
        <f>A184+I185</f>
        <v>0</v>
      </c>
      <c r="I182" s="90"/>
      <c r="J182" s="198"/>
      <c r="K182" s="198"/>
      <c r="L182" s="198"/>
      <c r="M182" s="93" t="str">
        <f t="shared" ref="M182:M183" si="78">IF(OR(J185&gt;=L185, ISBLANK(J185)),"Pass","Fail")</f>
        <v>Pass</v>
      </c>
      <c r="N182" s="330"/>
      <c r="O182" s="330"/>
      <c r="P182" s="333"/>
      <c r="Q182" s="330"/>
      <c r="R182" s="330"/>
      <c r="S182" s="333"/>
      <c r="T182" s="92"/>
    </row>
    <row r="183" spans="1:20" ht="15" customHeight="1" thickBot="1" x14ac:dyDescent="0.35">
      <c r="A183" s="358"/>
      <c r="B183" s="351"/>
      <c r="C183" s="265"/>
      <c r="D183" s="351"/>
      <c r="E183" s="351"/>
      <c r="F183" s="361"/>
      <c r="G183" s="41" t="s">
        <v>42</v>
      </c>
      <c r="H183" s="122">
        <f>A184+I186</f>
        <v>0</v>
      </c>
      <c r="I183" s="90"/>
      <c r="J183" s="198"/>
      <c r="K183" s="198"/>
      <c r="L183" s="198"/>
      <c r="M183" s="81" t="str">
        <f t="shared" si="78"/>
        <v>Pass</v>
      </c>
      <c r="N183" s="330"/>
      <c r="O183" s="330"/>
      <c r="P183" s="334"/>
      <c r="Q183" s="330"/>
      <c r="R183" s="330"/>
      <c r="S183" s="334"/>
      <c r="T183" s="92"/>
    </row>
    <row r="184" spans="1:20" ht="16" customHeight="1" thickTop="1" x14ac:dyDescent="0.3">
      <c r="A184" s="386"/>
      <c r="B184" s="344"/>
      <c r="C184" s="268"/>
      <c r="D184" s="344"/>
      <c r="E184" s="344"/>
      <c r="F184" s="346"/>
      <c r="H184" s="276"/>
      <c r="I184" s="276"/>
      <c r="J184" s="305"/>
      <c r="K184" s="305"/>
      <c r="L184" s="305"/>
      <c r="M184" s="255"/>
      <c r="N184" s="341"/>
      <c r="O184" s="341"/>
      <c r="P184" s="338" t="str">
        <f t="shared" si="76"/>
        <v/>
      </c>
      <c r="Q184" s="341"/>
      <c r="R184" s="341"/>
      <c r="S184" s="338" t="str">
        <f>IF(Q184="","",
   IF(OR(E184=572648,E184=57180),
      IF(Q184&lt;=3,"PASS","FAIL"),
      IF(AND(Q184&gt;=3.8,B178&lt;=6.2),"PASS","FAIL")
   )
)</f>
        <v/>
      </c>
      <c r="T184" s="249"/>
    </row>
    <row r="185" spans="1:20" ht="16" customHeight="1" x14ac:dyDescent="0.3">
      <c r="A185" s="387"/>
      <c r="B185" s="345"/>
      <c r="C185" s="220"/>
      <c r="D185" s="345"/>
      <c r="E185" s="345"/>
      <c r="F185" s="347"/>
      <c r="H185" s="184"/>
      <c r="I185" s="184"/>
      <c r="J185" s="296"/>
      <c r="K185" s="296"/>
      <c r="L185" s="296"/>
      <c r="M185" s="194"/>
      <c r="N185" s="342"/>
      <c r="O185" s="342"/>
      <c r="P185" s="339"/>
      <c r="Q185" s="342"/>
      <c r="R185" s="342"/>
      <c r="S185" s="339"/>
      <c r="T185" s="242"/>
    </row>
    <row r="186" spans="1:20" ht="17" customHeight="1" thickBot="1" x14ac:dyDescent="0.35">
      <c r="A186" s="388"/>
      <c r="B186" s="364"/>
      <c r="C186" s="221"/>
      <c r="D186" s="364"/>
      <c r="E186" s="364"/>
      <c r="F186" s="385"/>
      <c r="H186" s="233"/>
      <c r="I186" s="233"/>
      <c r="J186" s="301"/>
      <c r="K186" s="301"/>
      <c r="L186" s="301"/>
      <c r="M186" s="108"/>
      <c r="N186" s="343"/>
      <c r="O186" s="343"/>
      <c r="P186" s="340"/>
      <c r="Q186" s="343"/>
      <c r="R186" s="343"/>
      <c r="S186" s="340"/>
      <c r="T186" s="147"/>
    </row>
    <row r="187" spans="1:20" ht="11" thickTop="1" x14ac:dyDescent="0.25"/>
  </sheetData>
  <autoFilter ref="A2:AT186" xr:uid="{00000000-0001-0000-0000-000000000000}"/>
  <mergeCells count="681">
    <mergeCell ref="F21:F23"/>
    <mergeCell ref="N21:N23"/>
    <mergeCell ref="O21:O23"/>
    <mergeCell ref="P21:P23"/>
    <mergeCell ref="Q21:Q23"/>
    <mergeCell ref="R21:R23"/>
    <mergeCell ref="S21:S23"/>
    <mergeCell ref="C21:C23"/>
    <mergeCell ref="A28:A30"/>
    <mergeCell ref="B28:B30"/>
    <mergeCell ref="D28:D30"/>
    <mergeCell ref="E28:E30"/>
    <mergeCell ref="F28:F30"/>
    <mergeCell ref="N28:N30"/>
    <mergeCell ref="O28:O30"/>
    <mergeCell ref="P28:P30"/>
    <mergeCell ref="Q28:Q30"/>
    <mergeCell ref="R28:R30"/>
    <mergeCell ref="S28:S30"/>
    <mergeCell ref="S130:S132"/>
    <mergeCell ref="R76:R78"/>
    <mergeCell ref="R82:R84"/>
    <mergeCell ref="N85:N87"/>
    <mergeCell ref="O85:O87"/>
    <mergeCell ref="P85:P87"/>
    <mergeCell ref="Q85:Q87"/>
    <mergeCell ref="R85:R87"/>
    <mergeCell ref="F88:F90"/>
    <mergeCell ref="P91:P93"/>
    <mergeCell ref="Q91:Q93"/>
    <mergeCell ref="P79:P81"/>
    <mergeCell ref="P76:P78"/>
    <mergeCell ref="S115:S117"/>
    <mergeCell ref="Q97:Q99"/>
    <mergeCell ref="R97:R99"/>
    <mergeCell ref="C94:C96"/>
    <mergeCell ref="C97:C99"/>
    <mergeCell ref="C103:C105"/>
    <mergeCell ref="C136:C138"/>
    <mergeCell ref="D76:D78"/>
    <mergeCell ref="O178:O180"/>
    <mergeCell ref="P178:P180"/>
    <mergeCell ref="Q178:Q180"/>
    <mergeCell ref="E172:E174"/>
    <mergeCell ref="F172:F174"/>
    <mergeCell ref="N172:N174"/>
    <mergeCell ref="O172:O174"/>
    <mergeCell ref="P172:P174"/>
    <mergeCell ref="Q172:Q174"/>
    <mergeCell ref="N175:N177"/>
    <mergeCell ref="O175:O177"/>
    <mergeCell ref="P175:P177"/>
    <mergeCell ref="Q175:Q177"/>
    <mergeCell ref="R169:R171"/>
    <mergeCell ref="S169:S171"/>
    <mergeCell ref="R172:R174"/>
    <mergeCell ref="S172:S174"/>
    <mergeCell ref="O139:O141"/>
    <mergeCell ref="S118:S120"/>
    <mergeCell ref="N169:N171"/>
    <mergeCell ref="O169:O171"/>
    <mergeCell ref="P169:P171"/>
    <mergeCell ref="Q169:Q171"/>
    <mergeCell ref="N160:N162"/>
    <mergeCell ref="O160:O162"/>
    <mergeCell ref="P160:P162"/>
    <mergeCell ref="N163:N165"/>
    <mergeCell ref="O163:O165"/>
    <mergeCell ref="P163:P165"/>
    <mergeCell ref="N121:N123"/>
    <mergeCell ref="O121:O123"/>
    <mergeCell ref="P121:P123"/>
    <mergeCell ref="N142:N144"/>
    <mergeCell ref="O142:O144"/>
    <mergeCell ref="P142:P144"/>
    <mergeCell ref="P151:P153"/>
    <mergeCell ref="Q148:Q150"/>
    <mergeCell ref="S166:S168"/>
    <mergeCell ref="A154:A156"/>
    <mergeCell ref="B154:B156"/>
    <mergeCell ref="D154:D156"/>
    <mergeCell ref="E154:E156"/>
    <mergeCell ref="F154:F156"/>
    <mergeCell ref="N154:N156"/>
    <mergeCell ref="O154:O156"/>
    <mergeCell ref="P154:P156"/>
    <mergeCell ref="Q154:Q156"/>
    <mergeCell ref="R154:R156"/>
    <mergeCell ref="S154:S156"/>
    <mergeCell ref="A157:A159"/>
    <mergeCell ref="B157:B159"/>
    <mergeCell ref="A163:A165"/>
    <mergeCell ref="B163:B165"/>
    <mergeCell ref="D163:D165"/>
    <mergeCell ref="E163:E165"/>
    <mergeCell ref="F163:F165"/>
    <mergeCell ref="Q160:Q162"/>
    <mergeCell ref="S139:S141"/>
    <mergeCell ref="Q142:Q144"/>
    <mergeCell ref="A97:A99"/>
    <mergeCell ref="B97:B99"/>
    <mergeCell ref="D97:D99"/>
    <mergeCell ref="E97:E99"/>
    <mergeCell ref="F97:F99"/>
    <mergeCell ref="N97:N99"/>
    <mergeCell ref="O97:O99"/>
    <mergeCell ref="P97:P99"/>
    <mergeCell ref="R142:R144"/>
    <mergeCell ref="S142:S144"/>
    <mergeCell ref="N139:N141"/>
    <mergeCell ref="C142:C144"/>
    <mergeCell ref="N109:N111"/>
    <mergeCell ref="O109:O111"/>
    <mergeCell ref="F127:F129"/>
    <mergeCell ref="F121:F123"/>
    <mergeCell ref="F124:F126"/>
    <mergeCell ref="O115:O117"/>
    <mergeCell ref="O127:O129"/>
    <mergeCell ref="P112:P114"/>
    <mergeCell ref="P130:P132"/>
    <mergeCell ref="E166:E168"/>
    <mergeCell ref="F166:F168"/>
    <mergeCell ref="A151:A153"/>
    <mergeCell ref="B151:B153"/>
    <mergeCell ref="D151:D153"/>
    <mergeCell ref="E151:E153"/>
    <mergeCell ref="F151:F153"/>
    <mergeCell ref="N151:N153"/>
    <mergeCell ref="D148:D150"/>
    <mergeCell ref="E148:E150"/>
    <mergeCell ref="N148:N150"/>
    <mergeCell ref="U49:U51"/>
    <mergeCell ref="N100:N102"/>
    <mergeCell ref="O100:O102"/>
    <mergeCell ref="P100:P102"/>
    <mergeCell ref="Q100:Q102"/>
    <mergeCell ref="R100:R102"/>
    <mergeCell ref="S100:S102"/>
    <mergeCell ref="R91:R93"/>
    <mergeCell ref="S91:S93"/>
    <mergeCell ref="N94:N96"/>
    <mergeCell ref="O94:O96"/>
    <mergeCell ref="P94:P96"/>
    <mergeCell ref="Q94:Q96"/>
    <mergeCell ref="R94:R96"/>
    <mergeCell ref="S94:S96"/>
    <mergeCell ref="N64:N66"/>
    <mergeCell ref="O64:O66"/>
    <mergeCell ref="P64:P66"/>
    <mergeCell ref="Q64:Q66"/>
    <mergeCell ref="Q67:Q69"/>
    <mergeCell ref="Q76:Q78"/>
    <mergeCell ref="S97:S99"/>
    <mergeCell ref="N76:N78"/>
    <mergeCell ref="O76:O78"/>
    <mergeCell ref="A181:A183"/>
    <mergeCell ref="B181:B183"/>
    <mergeCell ref="E181:E183"/>
    <mergeCell ref="F181:F183"/>
    <mergeCell ref="C160:C162"/>
    <mergeCell ref="C166:C168"/>
    <mergeCell ref="U52:U54"/>
    <mergeCell ref="U106:U108"/>
    <mergeCell ref="U100:U102"/>
    <mergeCell ref="Q115:Q117"/>
    <mergeCell ref="R115:R117"/>
    <mergeCell ref="Q109:Q111"/>
    <mergeCell ref="R109:R111"/>
    <mergeCell ref="Q118:Q120"/>
    <mergeCell ref="R118:R120"/>
    <mergeCell ref="Q112:Q114"/>
    <mergeCell ref="R106:R108"/>
    <mergeCell ref="S106:S108"/>
    <mergeCell ref="S109:S111"/>
    <mergeCell ref="U103:U105"/>
    <mergeCell ref="A166:A168"/>
    <mergeCell ref="B166:B168"/>
    <mergeCell ref="D166:D168"/>
    <mergeCell ref="A175:A177"/>
    <mergeCell ref="B175:B177"/>
    <mergeCell ref="D175:D177"/>
    <mergeCell ref="E175:E177"/>
    <mergeCell ref="F175:F177"/>
    <mergeCell ref="D169:D171"/>
    <mergeCell ref="E169:E171"/>
    <mergeCell ref="B184:B186"/>
    <mergeCell ref="E136:E138"/>
    <mergeCell ref="F136:F138"/>
    <mergeCell ref="A145:A147"/>
    <mergeCell ref="B145:B147"/>
    <mergeCell ref="D145:D147"/>
    <mergeCell ref="E145:E147"/>
    <mergeCell ref="F145:F147"/>
    <mergeCell ref="F160:F162"/>
    <mergeCell ref="A160:A162"/>
    <mergeCell ref="B160:B162"/>
    <mergeCell ref="D160:D162"/>
    <mergeCell ref="E160:E162"/>
    <mergeCell ref="D157:D159"/>
    <mergeCell ref="E157:E159"/>
    <mergeCell ref="F157:F159"/>
    <mergeCell ref="F184:F186"/>
    <mergeCell ref="A142:A144"/>
    <mergeCell ref="B142:B144"/>
    <mergeCell ref="D142:D144"/>
    <mergeCell ref="E142:E144"/>
    <mergeCell ref="F142:F144"/>
    <mergeCell ref="A139:A141"/>
    <mergeCell ref="B139:B141"/>
    <mergeCell ref="D139:D141"/>
    <mergeCell ref="D181:D183"/>
    <mergeCell ref="F169:F171"/>
    <mergeCell ref="A178:A180"/>
    <mergeCell ref="B178:B180"/>
    <mergeCell ref="D178:D180"/>
    <mergeCell ref="E178:E180"/>
    <mergeCell ref="F178:F180"/>
    <mergeCell ref="A169:A171"/>
    <mergeCell ref="B169:B171"/>
    <mergeCell ref="A172:A174"/>
    <mergeCell ref="B172:B174"/>
    <mergeCell ref="D172:D174"/>
    <mergeCell ref="C178:C180"/>
    <mergeCell ref="C172:C174"/>
    <mergeCell ref="A133:A135"/>
    <mergeCell ref="B133:B135"/>
    <mergeCell ref="D133:D135"/>
    <mergeCell ref="B127:B129"/>
    <mergeCell ref="A130:A131"/>
    <mergeCell ref="E133:E135"/>
    <mergeCell ref="F133:F135"/>
    <mergeCell ref="E139:E141"/>
    <mergeCell ref="F139:F141"/>
    <mergeCell ref="B136:B138"/>
    <mergeCell ref="D136:D138"/>
    <mergeCell ref="A136:A138"/>
    <mergeCell ref="D103:D105"/>
    <mergeCell ref="E103:E105"/>
    <mergeCell ref="F103:F105"/>
    <mergeCell ref="A121:A123"/>
    <mergeCell ref="B121:B123"/>
    <mergeCell ref="D121:D123"/>
    <mergeCell ref="E121:E123"/>
    <mergeCell ref="A127:A129"/>
    <mergeCell ref="D127:D129"/>
    <mergeCell ref="E127:E129"/>
    <mergeCell ref="E118:E120"/>
    <mergeCell ref="F118:F120"/>
    <mergeCell ref="E115:E117"/>
    <mergeCell ref="F115:F117"/>
    <mergeCell ref="E112:E114"/>
    <mergeCell ref="F112:F114"/>
    <mergeCell ref="A124:A126"/>
    <mergeCell ref="B124:B126"/>
    <mergeCell ref="D124:D126"/>
    <mergeCell ref="E124:E126"/>
    <mergeCell ref="C124:C126"/>
    <mergeCell ref="E37:E39"/>
    <mergeCell ref="D37:D39"/>
    <mergeCell ref="E40:E42"/>
    <mergeCell ref="E46:E48"/>
    <mergeCell ref="E49:E51"/>
    <mergeCell ref="E43:E45"/>
    <mergeCell ref="A79:A81"/>
    <mergeCell ref="B79:B81"/>
    <mergeCell ref="D79:D81"/>
    <mergeCell ref="E79:E81"/>
    <mergeCell ref="E64:E66"/>
    <mergeCell ref="E67:E69"/>
    <mergeCell ref="B43:B45"/>
    <mergeCell ref="D46:D48"/>
    <mergeCell ref="D43:D45"/>
    <mergeCell ref="D40:D42"/>
    <mergeCell ref="A40:A42"/>
    <mergeCell ref="A46:A48"/>
    <mergeCell ref="A49:A51"/>
    <mergeCell ref="A43:A45"/>
    <mergeCell ref="A37:A39"/>
    <mergeCell ref="E76:E78"/>
    <mergeCell ref="A76:A78"/>
    <mergeCell ref="B76:B78"/>
    <mergeCell ref="F49:F51"/>
    <mergeCell ref="E85:E87"/>
    <mergeCell ref="F85:F87"/>
    <mergeCell ref="B70:B72"/>
    <mergeCell ref="D70:D72"/>
    <mergeCell ref="E70:E72"/>
    <mergeCell ref="F70:F72"/>
    <mergeCell ref="D67:D69"/>
    <mergeCell ref="E58:E60"/>
    <mergeCell ref="E61:E63"/>
    <mergeCell ref="F64:F66"/>
    <mergeCell ref="F67:F69"/>
    <mergeCell ref="B58:B60"/>
    <mergeCell ref="B61:B63"/>
    <mergeCell ref="F79:F81"/>
    <mergeCell ref="D85:D87"/>
    <mergeCell ref="B82:B84"/>
    <mergeCell ref="D82:D84"/>
    <mergeCell ref="E82:E84"/>
    <mergeCell ref="B85:B87"/>
    <mergeCell ref="F82:F84"/>
    <mergeCell ref="D52:D54"/>
    <mergeCell ref="D49:D51"/>
    <mergeCell ref="F52:F54"/>
    <mergeCell ref="F18:F20"/>
    <mergeCell ref="F24:F27"/>
    <mergeCell ref="F31:F33"/>
    <mergeCell ref="F34:F36"/>
    <mergeCell ref="A61:A63"/>
    <mergeCell ref="D58:D60"/>
    <mergeCell ref="D61:D63"/>
    <mergeCell ref="E31:E33"/>
    <mergeCell ref="E34:E36"/>
    <mergeCell ref="B40:B42"/>
    <mergeCell ref="A34:A36"/>
    <mergeCell ref="B37:B39"/>
    <mergeCell ref="B46:B48"/>
    <mergeCell ref="B34:B36"/>
    <mergeCell ref="B49:B51"/>
    <mergeCell ref="B52:B54"/>
    <mergeCell ref="B55:B57"/>
    <mergeCell ref="F37:F39"/>
    <mergeCell ref="F40:F42"/>
    <mergeCell ref="F43:F45"/>
    <mergeCell ref="F46:F48"/>
    <mergeCell ref="A31:A33"/>
    <mergeCell ref="D34:D36"/>
    <mergeCell ref="A52:A54"/>
    <mergeCell ref="A11:A13"/>
    <mergeCell ref="E11:E13"/>
    <mergeCell ref="F14:F17"/>
    <mergeCell ref="B14:B17"/>
    <mergeCell ref="D14:D17"/>
    <mergeCell ref="E14:E17"/>
    <mergeCell ref="B11:B13"/>
    <mergeCell ref="D11:D13"/>
    <mergeCell ref="F11:F13"/>
    <mergeCell ref="C11:C13"/>
    <mergeCell ref="C14:C17"/>
    <mergeCell ref="A14:A17"/>
    <mergeCell ref="A18:A20"/>
    <mergeCell ref="B18:B20"/>
    <mergeCell ref="E18:E20"/>
    <mergeCell ref="D18:D20"/>
    <mergeCell ref="D31:D33"/>
    <mergeCell ref="D24:D27"/>
    <mergeCell ref="E24:E27"/>
    <mergeCell ref="B31:B33"/>
    <mergeCell ref="B24:B27"/>
    <mergeCell ref="A24:A27"/>
    <mergeCell ref="C24:C27"/>
    <mergeCell ref="A21:A23"/>
    <mergeCell ref="B21:B23"/>
    <mergeCell ref="D21:D23"/>
    <mergeCell ref="E21:E23"/>
    <mergeCell ref="F7:F10"/>
    <mergeCell ref="A3:A6"/>
    <mergeCell ref="F3:F6"/>
    <mergeCell ref="B3:B6"/>
    <mergeCell ref="B7:B10"/>
    <mergeCell ref="A7:A10"/>
    <mergeCell ref="D3:D6"/>
    <mergeCell ref="E3:E6"/>
    <mergeCell ref="C3:C6"/>
    <mergeCell ref="C7:C10"/>
    <mergeCell ref="D7:D10"/>
    <mergeCell ref="E7:E10"/>
    <mergeCell ref="A184:A186"/>
    <mergeCell ref="E52:E54"/>
    <mergeCell ref="A85:A87"/>
    <mergeCell ref="A82:A84"/>
    <mergeCell ref="A88:A90"/>
    <mergeCell ref="D88:D90"/>
    <mergeCell ref="E88:E90"/>
    <mergeCell ref="A118:A120"/>
    <mergeCell ref="B118:B120"/>
    <mergeCell ref="D118:D120"/>
    <mergeCell ref="D184:D186"/>
    <mergeCell ref="E184:E186"/>
    <mergeCell ref="A115:A117"/>
    <mergeCell ref="B115:B117"/>
    <mergeCell ref="D115:D117"/>
    <mergeCell ref="B109:B111"/>
    <mergeCell ref="D109:D111"/>
    <mergeCell ref="E109:E111"/>
    <mergeCell ref="B112:B114"/>
    <mergeCell ref="D112:D114"/>
    <mergeCell ref="A73:A75"/>
    <mergeCell ref="B73:B75"/>
    <mergeCell ref="D73:D75"/>
    <mergeCell ref="E73:E75"/>
    <mergeCell ref="F61:F63"/>
    <mergeCell ref="A70:A72"/>
    <mergeCell ref="A58:A60"/>
    <mergeCell ref="E55:E57"/>
    <mergeCell ref="D55:D57"/>
    <mergeCell ref="B64:B66"/>
    <mergeCell ref="B67:B69"/>
    <mergeCell ref="D64:D66"/>
    <mergeCell ref="A64:A66"/>
    <mergeCell ref="A67:A69"/>
    <mergeCell ref="A55:A57"/>
    <mergeCell ref="R11:R13"/>
    <mergeCell ref="S11:S13"/>
    <mergeCell ref="Q3:Q6"/>
    <mergeCell ref="N3:N6"/>
    <mergeCell ref="O3:O6"/>
    <mergeCell ref="R3:R6"/>
    <mergeCell ref="S3:S6"/>
    <mergeCell ref="N7:N10"/>
    <mergeCell ref="O7:O10"/>
    <mergeCell ref="P7:P10"/>
    <mergeCell ref="Q7:Q10"/>
    <mergeCell ref="R7:R10"/>
    <mergeCell ref="S7:S10"/>
    <mergeCell ref="P3:P6"/>
    <mergeCell ref="R18:R20"/>
    <mergeCell ref="S18:S20"/>
    <mergeCell ref="N24:N27"/>
    <mergeCell ref="O24:O27"/>
    <mergeCell ref="P24:P27"/>
    <mergeCell ref="Q24:Q27"/>
    <mergeCell ref="R24:R27"/>
    <mergeCell ref="S24:S27"/>
    <mergeCell ref="N14:N17"/>
    <mergeCell ref="O14:O17"/>
    <mergeCell ref="P14:P17"/>
    <mergeCell ref="Q14:Q17"/>
    <mergeCell ref="R14:R17"/>
    <mergeCell ref="S14:S17"/>
    <mergeCell ref="R37:R39"/>
    <mergeCell ref="S37:S39"/>
    <mergeCell ref="Q40:Q42"/>
    <mergeCell ref="R40:R42"/>
    <mergeCell ref="S40:S42"/>
    <mergeCell ref="N31:N33"/>
    <mergeCell ref="O31:O33"/>
    <mergeCell ref="P31:P33"/>
    <mergeCell ref="Q31:Q33"/>
    <mergeCell ref="R31:R33"/>
    <mergeCell ref="S31:S33"/>
    <mergeCell ref="N34:N36"/>
    <mergeCell ref="O34:O36"/>
    <mergeCell ref="P34:P36"/>
    <mergeCell ref="Q34:Q36"/>
    <mergeCell ref="R34:R36"/>
    <mergeCell ref="S34:S36"/>
    <mergeCell ref="R52:R54"/>
    <mergeCell ref="S52:S54"/>
    <mergeCell ref="N55:N57"/>
    <mergeCell ref="O55:O57"/>
    <mergeCell ref="P55:P57"/>
    <mergeCell ref="Q55:Q57"/>
    <mergeCell ref="R55:R57"/>
    <mergeCell ref="S55:S57"/>
    <mergeCell ref="N52:N54"/>
    <mergeCell ref="O52:O54"/>
    <mergeCell ref="P52:P54"/>
    <mergeCell ref="Q52:Q54"/>
    <mergeCell ref="R46:R48"/>
    <mergeCell ref="S46:S48"/>
    <mergeCell ref="N49:N51"/>
    <mergeCell ref="O49:O51"/>
    <mergeCell ref="P49:P51"/>
    <mergeCell ref="Q49:Q51"/>
    <mergeCell ref="R49:R51"/>
    <mergeCell ref="S49:S51"/>
    <mergeCell ref="N40:N42"/>
    <mergeCell ref="O40:O42"/>
    <mergeCell ref="P40:P42"/>
    <mergeCell ref="N43:N45"/>
    <mergeCell ref="O43:O45"/>
    <mergeCell ref="P43:P45"/>
    <mergeCell ref="Q43:Q45"/>
    <mergeCell ref="R43:R45"/>
    <mergeCell ref="S43:S45"/>
    <mergeCell ref="N118:N120"/>
    <mergeCell ref="O118:O120"/>
    <mergeCell ref="P118:P120"/>
    <mergeCell ref="P139:P141"/>
    <mergeCell ref="Q121:Q123"/>
    <mergeCell ref="A1:M1"/>
    <mergeCell ref="N46:N48"/>
    <mergeCell ref="O46:O48"/>
    <mergeCell ref="P46:P48"/>
    <mergeCell ref="Q46:Q48"/>
    <mergeCell ref="N37:N39"/>
    <mergeCell ref="O37:O39"/>
    <mergeCell ref="P37:P39"/>
    <mergeCell ref="Q37:Q39"/>
    <mergeCell ref="N18:N20"/>
    <mergeCell ref="O18:O20"/>
    <mergeCell ref="P18:P20"/>
    <mergeCell ref="Q18:Q20"/>
    <mergeCell ref="N11:N13"/>
    <mergeCell ref="O11:O13"/>
    <mergeCell ref="P11:P13"/>
    <mergeCell ref="Q11:Q13"/>
    <mergeCell ref="F55:F57"/>
    <mergeCell ref="F58:F60"/>
    <mergeCell ref="N58:N60"/>
    <mergeCell ref="O58:O60"/>
    <mergeCell ref="P58:P60"/>
    <mergeCell ref="N82:N84"/>
    <mergeCell ref="O82:O84"/>
    <mergeCell ref="P82:P84"/>
    <mergeCell ref="Q82:Q84"/>
    <mergeCell ref="S157:S159"/>
    <mergeCell ref="S151:S153"/>
    <mergeCell ref="Q58:Q60"/>
    <mergeCell ref="R58:R60"/>
    <mergeCell ref="S58:S60"/>
    <mergeCell ref="N61:N63"/>
    <mergeCell ref="O61:O63"/>
    <mergeCell ref="P61:P63"/>
    <mergeCell ref="Q61:Q63"/>
    <mergeCell ref="R61:R63"/>
    <mergeCell ref="S61:S63"/>
    <mergeCell ref="Q79:Q81"/>
    <mergeCell ref="P88:P90"/>
    <mergeCell ref="Q88:Q90"/>
    <mergeCell ref="O151:O153"/>
    <mergeCell ref="S85:S87"/>
    <mergeCell ref="S76:S78"/>
    <mergeCell ref="R121:R123"/>
    <mergeCell ref="S121:S123"/>
    <mergeCell ref="S88:S90"/>
    <mergeCell ref="R103:R105"/>
    <mergeCell ref="N136:N138"/>
    <mergeCell ref="R151:R153"/>
    <mergeCell ref="O136:O138"/>
    <mergeCell ref="N133:N135"/>
    <mergeCell ref="R127:R129"/>
    <mergeCell ref="S127:S129"/>
    <mergeCell ref="S148:S150"/>
    <mergeCell ref="S145:S147"/>
    <mergeCell ref="S124:S126"/>
    <mergeCell ref="N124:N126"/>
    <mergeCell ref="O124:O126"/>
    <mergeCell ref="P124:P126"/>
    <mergeCell ref="Q124:Q126"/>
    <mergeCell ref="Q139:Q141"/>
    <mergeCell ref="P127:P129"/>
    <mergeCell ref="Q127:Q129"/>
    <mergeCell ref="P106:P108"/>
    <mergeCell ref="P115:P117"/>
    <mergeCell ref="N106:N108"/>
    <mergeCell ref="O106:O108"/>
    <mergeCell ref="R160:R162"/>
    <mergeCell ref="P133:P135"/>
    <mergeCell ref="N127:N129"/>
    <mergeCell ref="N157:N159"/>
    <mergeCell ref="O157:O159"/>
    <mergeCell ref="P157:P159"/>
    <mergeCell ref="Q157:Q159"/>
    <mergeCell ref="R157:R159"/>
    <mergeCell ref="Q151:Q153"/>
    <mergeCell ref="N145:N147"/>
    <mergeCell ref="O145:O147"/>
    <mergeCell ref="P145:P147"/>
    <mergeCell ref="Q145:Q147"/>
    <mergeCell ref="R145:R147"/>
    <mergeCell ref="O148:O150"/>
    <mergeCell ref="P148:P150"/>
    <mergeCell ref="R148:R150"/>
    <mergeCell ref="R139:R141"/>
    <mergeCell ref="N184:N186"/>
    <mergeCell ref="O184:O186"/>
    <mergeCell ref="P184:P186"/>
    <mergeCell ref="Q184:Q186"/>
    <mergeCell ref="R184:R186"/>
    <mergeCell ref="S184:S186"/>
    <mergeCell ref="S160:S162"/>
    <mergeCell ref="Q163:Q165"/>
    <mergeCell ref="R163:R165"/>
    <mergeCell ref="S163:S165"/>
    <mergeCell ref="N166:N168"/>
    <mergeCell ref="O166:O168"/>
    <mergeCell ref="P166:P168"/>
    <mergeCell ref="Q166:Q168"/>
    <mergeCell ref="R166:R168"/>
    <mergeCell ref="S175:S177"/>
    <mergeCell ref="R175:R177"/>
    <mergeCell ref="R181:R183"/>
    <mergeCell ref="S181:S183"/>
    <mergeCell ref="N181:N183"/>
    <mergeCell ref="O181:O183"/>
    <mergeCell ref="P181:P183"/>
    <mergeCell ref="Q181:Q183"/>
    <mergeCell ref="N178:N180"/>
    <mergeCell ref="R67:R69"/>
    <mergeCell ref="S67:S69"/>
    <mergeCell ref="N70:N72"/>
    <mergeCell ref="O70:O72"/>
    <mergeCell ref="P70:P72"/>
    <mergeCell ref="Q70:Q72"/>
    <mergeCell ref="S70:S72"/>
    <mergeCell ref="R70:R72"/>
    <mergeCell ref="R112:R114"/>
    <mergeCell ref="S112:S114"/>
    <mergeCell ref="R88:R90"/>
    <mergeCell ref="N103:N105"/>
    <mergeCell ref="O103:O105"/>
    <mergeCell ref="P103:P105"/>
    <mergeCell ref="Q103:Q105"/>
    <mergeCell ref="N91:N93"/>
    <mergeCell ref="O91:O93"/>
    <mergeCell ref="S103:S105"/>
    <mergeCell ref="R79:R81"/>
    <mergeCell ref="S79:S81"/>
    <mergeCell ref="S82:S84"/>
    <mergeCell ref="Q106:Q108"/>
    <mergeCell ref="N88:N90"/>
    <mergeCell ref="O88:O90"/>
    <mergeCell ref="F73:F75"/>
    <mergeCell ref="N73:N75"/>
    <mergeCell ref="O73:O75"/>
    <mergeCell ref="P73:P75"/>
    <mergeCell ref="U113:U115"/>
    <mergeCell ref="Q73:Q75"/>
    <mergeCell ref="R73:R75"/>
    <mergeCell ref="S73:S75"/>
    <mergeCell ref="N112:N114"/>
    <mergeCell ref="O112:O114"/>
    <mergeCell ref="P109:P111"/>
    <mergeCell ref="F100:F102"/>
    <mergeCell ref="F106:F108"/>
    <mergeCell ref="F91:F93"/>
    <mergeCell ref="F94:F96"/>
    <mergeCell ref="N115:N117"/>
    <mergeCell ref="F76:F78"/>
    <mergeCell ref="N79:N81"/>
    <mergeCell ref="O79:O81"/>
    <mergeCell ref="B88:B90"/>
    <mergeCell ref="D91:D93"/>
    <mergeCell ref="A112:A114"/>
    <mergeCell ref="C112:C114"/>
    <mergeCell ref="A109:A111"/>
    <mergeCell ref="F109:F111"/>
    <mergeCell ref="B106:B108"/>
    <mergeCell ref="A103:A105"/>
    <mergeCell ref="A100:A102"/>
    <mergeCell ref="B100:B102"/>
    <mergeCell ref="D100:D102"/>
    <mergeCell ref="E100:E102"/>
    <mergeCell ref="A106:A108"/>
    <mergeCell ref="D106:D108"/>
    <mergeCell ref="E106:E108"/>
    <mergeCell ref="E91:E93"/>
    <mergeCell ref="A94:A96"/>
    <mergeCell ref="B94:B96"/>
    <mergeCell ref="D94:D96"/>
    <mergeCell ref="E94:E96"/>
    <mergeCell ref="A91:A93"/>
    <mergeCell ref="B91:B93"/>
    <mergeCell ref="B103:B105"/>
    <mergeCell ref="R64:R66"/>
    <mergeCell ref="S64:S66"/>
    <mergeCell ref="N67:N69"/>
    <mergeCell ref="O67:O69"/>
    <mergeCell ref="P67:P69"/>
    <mergeCell ref="R178:R180"/>
    <mergeCell ref="S178:S180"/>
    <mergeCell ref="B130:B131"/>
    <mergeCell ref="D130:D131"/>
    <mergeCell ref="E130:E131"/>
    <mergeCell ref="F130:F131"/>
    <mergeCell ref="N130:N131"/>
    <mergeCell ref="O130:O131"/>
    <mergeCell ref="Q130:Q131"/>
    <mergeCell ref="R130:R131"/>
    <mergeCell ref="P136:P138"/>
    <mergeCell ref="Q136:Q138"/>
    <mergeCell ref="R136:R138"/>
    <mergeCell ref="S136:S138"/>
    <mergeCell ref="Q133:Q135"/>
    <mergeCell ref="R133:R135"/>
    <mergeCell ref="S133:S135"/>
    <mergeCell ref="O133:O135"/>
    <mergeCell ref="R124:R126"/>
  </mergeCells>
  <phoneticPr fontId="3" type="noConversion"/>
  <conditionalFormatting sqref="M3:S3 N7:S8 N11:S11 N14:S15 N18:S18 N24:S25 N31:S31 N34:S34 N37:S37 N40:S40 N43:S43 N46:S46 N49:S49 N52:S52 N55:S55 N58:S58 N61:S61 N64:S64 N67:S67 N70:S70 N73:S73 N76:S76 N79:S79 N82:S82 N85:S85 N88:S88 N91:S91 N94:S94 N97:S97 N100:S100 N103:S103 N106:S106 N109:S109 N112:S112 N115:S115 N118:S118 N121:S121 N124:S124 N127:S127 N130:S130 N133:S133 N136:S136 N139:S139 N142:S142 N145:S145 P148 S148 N151:S151 N154:S154 N157:S157 N160:S160 N163:S163 N166:S166 N169:S169 N172:S172 N175:S175 N178:S178 N181:S181 N184:S184 N21:S21 N28:S28 M4:M183">
    <cfRule type="cellIs" dxfId="6" priority="4" operator="equal">
      <formula>"Fail"</formula>
    </cfRule>
  </conditionalFormatting>
  <dataValidations count="1">
    <dataValidation type="list" allowBlank="1" showInputMessage="1" showErrorMessage="1" sqref="D34:D64 D85:D87 D73:D81 D67:D70 D3:D28 D31" xr:uid="{18971CA7-1D66-4252-85EC-D830D4F8CA4D}">
      <formula1>$X$3:$X$10</formula1>
    </dataValidation>
  </dataValidations>
  <printOptions horizontalCentered="1"/>
  <pageMargins left="0.5" right="0.5" top="1.5" bottom="0.75" header="0.5" footer="0.3"/>
  <pageSetup scale="62" fitToHeight="0" orientation="landscape" horizontalDpi="200" verticalDpi="200" r:id="rId1"/>
  <headerFooter>
    <oddHeader>&amp;L&amp;"-,Bold"&amp;8&amp;G&amp;C&amp;"-,Bold"San Francisco International Airport
8963.61_Taxiway Z Rehabilitation
P-610 QA Acceptance Test Summary&amp;R&amp;"-,Bold"&amp;8&amp;D</oddHeader>
    <oddFooter>&amp;C&amp;"-,Bold"&amp;8&amp;P of &amp;N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90856-7192-4546-8F88-920581937148}">
  <sheetPr>
    <pageSetUpPr fitToPage="1"/>
  </sheetPr>
  <dimension ref="A1:AU195"/>
  <sheetViews>
    <sheetView zoomScaleNormal="100" workbookViewId="0">
      <pane xSplit="1" ySplit="2" topLeftCell="B3" activePane="bottomRight" state="frozen"/>
      <selection pane="topRight" activeCell="C1" sqref="C1"/>
      <selection pane="bottomLeft" activeCell="A2" sqref="A2"/>
      <selection pane="bottomRight" activeCell="P3" sqref="P3:P5"/>
    </sheetView>
  </sheetViews>
  <sheetFormatPr defaultColWidth="2.7265625" defaultRowHeight="10.5" x14ac:dyDescent="0.25"/>
  <cols>
    <col min="1" max="1" width="11.7265625" style="182" customWidth="1"/>
    <col min="2" max="4" width="11.7265625" style="179" customWidth="1"/>
    <col min="5" max="5" width="11.54296875" style="179" customWidth="1"/>
    <col min="6" max="6" width="7.453125" style="179" customWidth="1"/>
    <col min="7" max="7" width="48.6328125" style="8" customWidth="1"/>
    <col min="8" max="8" width="6.54296875" style="2" customWidth="1"/>
    <col min="9" max="9" width="9.7265625" style="2" customWidth="1"/>
    <col min="10" max="10" width="6.453125" style="2" customWidth="1"/>
    <col min="11" max="13" width="8.54296875" style="216" customWidth="1"/>
    <col min="14" max="14" width="8.54296875" style="3" customWidth="1"/>
    <col min="15" max="16" width="10.08984375" style="192" bestFit="1" customWidth="1"/>
    <col min="17" max="17" width="8.81640625" style="190" bestFit="1" customWidth="1"/>
    <col min="18" max="19" width="11.54296875" style="192" bestFit="1" customWidth="1"/>
    <col min="20" max="20" width="12.1796875" style="190" bestFit="1" customWidth="1"/>
    <col min="21" max="21" width="37.26953125" style="1" customWidth="1"/>
    <col min="22" max="22" width="18.54296875" style="1" customWidth="1"/>
    <col min="23" max="23" width="23.1796875" style="1" customWidth="1"/>
    <col min="24" max="24" width="11.54296875" style="1" customWidth="1"/>
    <col min="25" max="25" width="12.26953125" style="1" bestFit="1" customWidth="1"/>
    <col min="26" max="30" width="10.7265625" style="1" customWidth="1"/>
    <col min="31" max="16384" width="2.7265625" style="1"/>
  </cols>
  <sheetData>
    <row r="1" spans="1:33" x14ac:dyDescent="0.25">
      <c r="A1" s="371"/>
      <c r="B1" s="371"/>
      <c r="C1" s="371"/>
      <c r="D1" s="371"/>
      <c r="E1" s="371"/>
      <c r="F1" s="371"/>
      <c r="G1" s="371"/>
      <c r="H1" s="371"/>
      <c r="I1" s="371"/>
      <c r="J1" s="371"/>
      <c r="K1" s="371"/>
      <c r="L1" s="371"/>
      <c r="M1" s="371"/>
      <c r="N1" s="371"/>
    </row>
    <row r="2" spans="1:33" s="4" customFormat="1" ht="33.5" customHeight="1" x14ac:dyDescent="0.3">
      <c r="A2" s="181" t="s">
        <v>0</v>
      </c>
      <c r="B2" s="73" t="s">
        <v>61</v>
      </c>
      <c r="C2" s="73" t="s">
        <v>63</v>
      </c>
      <c r="D2" s="73" t="s">
        <v>66</v>
      </c>
      <c r="E2" s="73" t="s">
        <v>12</v>
      </c>
      <c r="F2" s="73" t="s">
        <v>13</v>
      </c>
      <c r="G2" s="75" t="s">
        <v>6</v>
      </c>
      <c r="H2" s="77" t="s">
        <v>10</v>
      </c>
      <c r="I2" s="183" t="s">
        <v>11</v>
      </c>
      <c r="J2" s="73" t="s">
        <v>7</v>
      </c>
      <c r="K2" s="71" t="s">
        <v>59</v>
      </c>
      <c r="L2" s="71" t="s">
        <v>60</v>
      </c>
      <c r="M2" s="71" t="s">
        <v>39</v>
      </c>
      <c r="N2" s="138" t="s">
        <v>2</v>
      </c>
      <c r="O2" s="191" t="s">
        <v>72</v>
      </c>
      <c r="P2" s="191" t="s">
        <v>73</v>
      </c>
      <c r="Q2" s="189" t="s">
        <v>67</v>
      </c>
      <c r="R2" s="191" t="s">
        <v>55</v>
      </c>
      <c r="S2" s="191" t="s">
        <v>56</v>
      </c>
      <c r="T2" s="189" t="s">
        <v>68</v>
      </c>
      <c r="U2" s="72" t="s">
        <v>8</v>
      </c>
      <c r="V2" s="72" t="s">
        <v>62</v>
      </c>
      <c r="Z2" s="4" t="s">
        <v>45</v>
      </c>
    </row>
    <row r="3" spans="1:33" s="5" customFormat="1" ht="15" customHeight="1" x14ac:dyDescent="0.3">
      <c r="A3" s="391"/>
      <c r="B3" s="395"/>
      <c r="C3" s="395"/>
      <c r="D3" s="395"/>
      <c r="E3" s="395"/>
      <c r="F3" s="395"/>
      <c r="G3" s="392"/>
      <c r="H3" s="27" t="s">
        <v>4</v>
      </c>
      <c r="I3" s="159">
        <f>A3+J3</f>
        <v>7</v>
      </c>
      <c r="J3" s="27">
        <v>7</v>
      </c>
      <c r="K3" s="195"/>
      <c r="L3" s="130"/>
      <c r="M3" s="195"/>
      <c r="N3" s="79"/>
      <c r="O3" s="380"/>
      <c r="P3" s="381"/>
      <c r="Q3" s="338" t="str">
        <f>IF(OR(ISBLANK(O3)),"",IF(AND(O3&lt;=4, P3&lt;=4),"Pass","Fail"))</f>
        <v/>
      </c>
      <c r="R3" s="380"/>
      <c r="S3" s="380"/>
      <c r="T3" s="382" t="str">
        <f>IF(OR(ISBLANK(R3)),"",IF(AND(R3&lt;=6.2, S3&lt;=6.2),"Pass","Fail"))</f>
        <v/>
      </c>
      <c r="U3" s="30"/>
      <c r="V3" s="188" t="s">
        <v>69</v>
      </c>
      <c r="Y3" s="6" t="s">
        <v>54</v>
      </c>
      <c r="Z3" s="5" t="s">
        <v>37</v>
      </c>
    </row>
    <row r="4" spans="1:33" s="5" customFormat="1" ht="15" customHeight="1" x14ac:dyDescent="0.35">
      <c r="A4" s="353"/>
      <c r="B4" s="355"/>
      <c r="C4" s="355"/>
      <c r="D4" s="355"/>
      <c r="E4" s="355"/>
      <c r="F4" s="355"/>
      <c r="G4" s="393"/>
      <c r="H4" s="105" t="s">
        <v>5</v>
      </c>
      <c r="I4" s="159">
        <f>A3+J4</f>
        <v>14</v>
      </c>
      <c r="J4" s="105">
        <v>14</v>
      </c>
      <c r="K4" s="195"/>
      <c r="L4" s="307"/>
      <c r="M4" s="295">
        <v>4000</v>
      </c>
      <c r="N4" s="106" t="str">
        <f>IF(OR(K4&gt;=M4, ISBLANK(K4)),"Pass","Fail")</f>
        <v>Pass</v>
      </c>
      <c r="O4" s="348"/>
      <c r="P4" s="342"/>
      <c r="Q4" s="339"/>
      <c r="R4" s="348"/>
      <c r="S4" s="348"/>
      <c r="T4" s="383"/>
      <c r="U4" s="95"/>
      <c r="Y4" t="s">
        <v>46</v>
      </c>
    </row>
    <row r="5" spans="1:33" s="5" customFormat="1" ht="13.5" customHeight="1" thickBot="1" x14ac:dyDescent="0.4">
      <c r="A5" s="354"/>
      <c r="B5" s="356"/>
      <c r="C5" s="356"/>
      <c r="D5" s="356"/>
      <c r="E5" s="356"/>
      <c r="F5" s="356"/>
      <c r="G5" s="394"/>
      <c r="H5" s="107" t="s">
        <v>42</v>
      </c>
      <c r="I5" s="59">
        <f>A3+J5</f>
        <v>28</v>
      </c>
      <c r="J5" s="107">
        <v>28</v>
      </c>
      <c r="K5" s="196"/>
      <c r="L5" s="247"/>
      <c r="M5" s="301">
        <v>4000</v>
      </c>
      <c r="N5" s="109" t="str">
        <f>IF(OR(K5&gt;=M5, ISBLANK(K5)),"Pass","Fail")</f>
        <v>Pass</v>
      </c>
      <c r="O5" s="349"/>
      <c r="P5" s="343"/>
      <c r="Q5" s="340"/>
      <c r="R5" s="349"/>
      <c r="S5" s="349"/>
      <c r="T5" s="384"/>
      <c r="U5" s="14"/>
      <c r="Y5" t="s">
        <v>22</v>
      </c>
    </row>
    <row r="6" spans="1:33" s="5" customFormat="1" ht="15" customHeight="1" thickTop="1" x14ac:dyDescent="0.35">
      <c r="A6" s="357"/>
      <c r="B6" s="350"/>
      <c r="C6" s="350"/>
      <c r="D6" s="265"/>
      <c r="E6" s="396"/>
      <c r="F6" s="350"/>
      <c r="G6" s="389"/>
      <c r="H6" s="37" t="s">
        <v>4</v>
      </c>
      <c r="I6" s="62">
        <f>A6+J6</f>
        <v>7</v>
      </c>
      <c r="J6" s="37">
        <v>7</v>
      </c>
      <c r="K6" s="282"/>
      <c r="L6" s="236"/>
      <c r="M6" s="213"/>
      <c r="N6" s="93"/>
      <c r="O6" s="329"/>
      <c r="P6" s="329"/>
      <c r="Q6" s="332" t="str">
        <f>IF(OR(ISBLANK(O6)),"",IF(AND(O6&lt;=4, P6&lt;=4),"Pass","Fail"))</f>
        <v/>
      </c>
      <c r="R6" s="329"/>
      <c r="S6" s="329"/>
      <c r="T6" s="332" t="str">
        <f>IF(OR(ISBLANK(R6)),"",IF(AND(R6&lt;=6.2, S6&lt;=6.2),"Pass","Fail"))</f>
        <v/>
      </c>
      <c r="U6" s="40"/>
      <c r="Y6" t="s">
        <v>23</v>
      </c>
    </row>
    <row r="7" spans="1:33" s="5" customFormat="1" ht="15" customHeight="1" x14ac:dyDescent="0.35">
      <c r="A7" s="358"/>
      <c r="B7" s="351"/>
      <c r="C7" s="351"/>
      <c r="D7" s="265"/>
      <c r="E7" s="351"/>
      <c r="F7" s="351"/>
      <c r="G7" s="361"/>
      <c r="H7" s="101" t="s">
        <v>5</v>
      </c>
      <c r="I7" s="122">
        <f>A6+J7</f>
        <v>28</v>
      </c>
      <c r="J7" s="101">
        <v>28</v>
      </c>
      <c r="K7" s="283"/>
      <c r="L7" s="280"/>
      <c r="M7" s="208"/>
      <c r="N7" s="93" t="str">
        <f>IF(OR(K7&gt;=M7, ISBLANK(K7)),"Pass","Fail")</f>
        <v>Pass</v>
      </c>
      <c r="O7" s="330"/>
      <c r="P7" s="330"/>
      <c r="Q7" s="333"/>
      <c r="R7" s="330"/>
      <c r="S7" s="330"/>
      <c r="T7" s="333"/>
      <c r="U7" s="102"/>
      <c r="Y7" t="s">
        <v>24</v>
      </c>
    </row>
    <row r="8" spans="1:33" s="5" customFormat="1" ht="15" customHeight="1" thickBot="1" x14ac:dyDescent="0.4">
      <c r="A8" s="359"/>
      <c r="B8" s="352"/>
      <c r="C8" s="352"/>
      <c r="D8" s="266"/>
      <c r="E8" s="352"/>
      <c r="F8" s="352"/>
      <c r="G8" s="362"/>
      <c r="H8" s="50" t="s">
        <v>42</v>
      </c>
      <c r="I8" s="87">
        <f>A6+J8</f>
        <v>28</v>
      </c>
      <c r="J8" s="41">
        <v>28</v>
      </c>
      <c r="K8" s="208"/>
      <c r="L8" s="278"/>
      <c r="M8" s="208"/>
      <c r="N8" s="81" t="str">
        <f>IF(OR(K8&gt;=M8, ISBLANK(K8)),"Pass","Fail")</f>
        <v>Pass</v>
      </c>
      <c r="O8" s="331"/>
      <c r="P8" s="331"/>
      <c r="Q8" s="334"/>
      <c r="R8" s="331"/>
      <c r="S8" s="331"/>
      <c r="T8" s="334"/>
      <c r="U8" s="44"/>
      <c r="Y8" t="s">
        <v>30</v>
      </c>
    </row>
    <row r="9" spans="1:33" s="6" customFormat="1" ht="15" customHeight="1" thickTop="1" x14ac:dyDescent="0.3">
      <c r="A9" s="363"/>
      <c r="B9" s="417"/>
      <c r="C9" s="417"/>
      <c r="D9" s="417"/>
      <c r="E9" s="395"/>
      <c r="F9" s="395"/>
      <c r="G9" s="418"/>
      <c r="H9" s="9" t="s">
        <v>4</v>
      </c>
      <c r="I9" s="18">
        <f t="shared" ref="I9" si="0">A9+J9</f>
        <v>7</v>
      </c>
      <c r="J9" s="31">
        <v>7</v>
      </c>
      <c r="K9" s="200"/>
      <c r="L9" s="118"/>
      <c r="M9" s="200"/>
      <c r="N9" s="79"/>
      <c r="O9" s="439"/>
      <c r="P9" s="439"/>
      <c r="Q9" s="338" t="str">
        <f t="shared" ref="Q9" si="1">IF(OR(ISBLANK(O9)),"",IF(AND(O9&lt;=4, P9&lt;=4),"Pass","Fail"))</f>
        <v/>
      </c>
      <c r="R9" s="439"/>
      <c r="S9" s="439"/>
      <c r="T9" s="382" t="str">
        <f t="shared" ref="T9" si="2">IF(OR(ISBLANK(R9)),"",IF(AND(R9&lt;=6.2, S9&lt;=6.2),"Pass","Fail"))</f>
        <v/>
      </c>
      <c r="U9" s="33"/>
    </row>
    <row r="10" spans="1:33" s="6" customFormat="1" ht="15" customHeight="1" x14ac:dyDescent="0.3">
      <c r="A10" s="353"/>
      <c r="B10" s="355"/>
      <c r="C10" s="355"/>
      <c r="D10" s="355"/>
      <c r="E10" s="355"/>
      <c r="F10" s="355"/>
      <c r="G10" s="393"/>
      <c r="H10" s="105" t="s">
        <v>5</v>
      </c>
      <c r="I10" s="159">
        <f t="shared" ref="I10" si="3">A9+J10</f>
        <v>28</v>
      </c>
      <c r="J10" s="103">
        <v>28</v>
      </c>
      <c r="K10" s="284"/>
      <c r="L10" s="141"/>
      <c r="M10" s="284"/>
      <c r="N10" s="106" t="str">
        <f t="shared" ref="N10:N11" si="4">IF(OR(K10&gt;=M10, ISBLANK(K10)),"Pass","Fail")</f>
        <v>Pass</v>
      </c>
      <c r="O10" s="348"/>
      <c r="P10" s="348"/>
      <c r="Q10" s="339"/>
      <c r="R10" s="348"/>
      <c r="S10" s="348"/>
      <c r="T10" s="383"/>
      <c r="U10" s="104"/>
    </row>
    <row r="11" spans="1:33" s="6" customFormat="1" ht="15" customHeight="1" thickBot="1" x14ac:dyDescent="0.35">
      <c r="A11" s="353"/>
      <c r="B11" s="355"/>
      <c r="C11" s="356"/>
      <c r="D11" s="356"/>
      <c r="E11" s="356"/>
      <c r="F11" s="356"/>
      <c r="G11" s="393"/>
      <c r="H11" s="107" t="s">
        <v>42</v>
      </c>
      <c r="I11" s="59">
        <f t="shared" ref="I11" si="5">A9+J11</f>
        <v>28</v>
      </c>
      <c r="J11" s="178">
        <v>28</v>
      </c>
      <c r="K11" s="206"/>
      <c r="L11" s="124"/>
      <c r="M11" s="206"/>
      <c r="N11" s="109" t="str">
        <f t="shared" si="4"/>
        <v>Pass</v>
      </c>
      <c r="O11" s="349"/>
      <c r="P11" s="349"/>
      <c r="Q11" s="340"/>
      <c r="R11" s="349"/>
      <c r="S11" s="349"/>
      <c r="T11" s="384"/>
      <c r="U11" s="121"/>
    </row>
    <row r="12" spans="1:33" s="5" customFormat="1" ht="15" customHeight="1" thickTop="1" x14ac:dyDescent="0.3">
      <c r="A12" s="435"/>
      <c r="B12" s="413"/>
      <c r="C12" s="265"/>
      <c r="D12" s="265"/>
      <c r="E12" s="396"/>
      <c r="F12" s="350"/>
      <c r="G12" s="415"/>
      <c r="H12" s="37" t="s">
        <v>4</v>
      </c>
      <c r="I12" s="62">
        <f t="shared" ref="I12" si="6">A12+J12</f>
        <v>0</v>
      </c>
      <c r="J12" s="37"/>
      <c r="K12" s="207"/>
      <c r="L12" s="155"/>
      <c r="M12" s="207"/>
      <c r="N12" s="93"/>
      <c r="O12" s="372"/>
      <c r="P12" s="329"/>
      <c r="Q12" s="332" t="str">
        <f t="shared" ref="Q12" si="7">IF(OR(ISBLANK(O12)),"",IF(AND(O12&lt;=4, P12&lt;=4),"Pass","Fail"))</f>
        <v/>
      </c>
      <c r="R12" s="329"/>
      <c r="S12" s="329"/>
      <c r="T12" s="332" t="str">
        <f t="shared" ref="T12" si="8">IF(OR(ISBLANK(R12)),"",IF(AND(R12&lt;=6.2, S12&lt;=6.2),"Pass","Fail"))</f>
        <v/>
      </c>
      <c r="U12" s="49"/>
    </row>
    <row r="13" spans="1:33" s="5" customFormat="1" ht="15" customHeight="1" x14ac:dyDescent="0.3">
      <c r="A13" s="436"/>
      <c r="B13" s="434"/>
      <c r="C13" s="265"/>
      <c r="D13" s="265"/>
      <c r="E13" s="351"/>
      <c r="F13" s="351"/>
      <c r="G13" s="438"/>
      <c r="H13" s="101" t="s">
        <v>5</v>
      </c>
      <c r="I13" s="122">
        <f t="shared" ref="I13" si="9">A12+J13</f>
        <v>0</v>
      </c>
      <c r="J13" s="101"/>
      <c r="K13" s="198"/>
      <c r="L13" s="123"/>
      <c r="M13" s="198"/>
      <c r="N13" s="93" t="str">
        <f t="shared" ref="N13:N14" si="10">IF(OR(K13&gt;=M13, ISBLANK(K13)),"Pass","Fail")</f>
        <v>Pass</v>
      </c>
      <c r="O13" s="373"/>
      <c r="P13" s="330"/>
      <c r="Q13" s="333"/>
      <c r="R13" s="330"/>
      <c r="S13" s="330"/>
      <c r="T13" s="333"/>
      <c r="U13" s="92"/>
    </row>
    <row r="14" spans="1:33" s="5" customFormat="1" ht="15" customHeight="1" thickBot="1" x14ac:dyDescent="0.35">
      <c r="A14" s="437"/>
      <c r="B14" s="414"/>
      <c r="C14" s="266"/>
      <c r="D14" s="266"/>
      <c r="E14" s="352"/>
      <c r="F14" s="352"/>
      <c r="G14" s="416"/>
      <c r="H14" s="41" t="s">
        <v>42</v>
      </c>
      <c r="I14" s="122">
        <f t="shared" ref="I14" si="11">A12+J14</f>
        <v>0</v>
      </c>
      <c r="J14" s="50"/>
      <c r="K14" s="205"/>
      <c r="L14" s="278"/>
      <c r="M14" s="205"/>
      <c r="N14" s="81" t="str">
        <f t="shared" si="10"/>
        <v>Pass</v>
      </c>
      <c r="O14" s="374"/>
      <c r="P14" s="331"/>
      <c r="Q14" s="334"/>
      <c r="R14" s="331"/>
      <c r="S14" s="331"/>
      <c r="T14" s="334"/>
      <c r="U14" s="54"/>
    </row>
    <row r="15" spans="1:33" s="6" customFormat="1" ht="15" customHeight="1" thickTop="1" x14ac:dyDescent="0.3">
      <c r="A15" s="353"/>
      <c r="B15" s="355"/>
      <c r="C15" s="355"/>
      <c r="D15" s="355"/>
      <c r="E15" s="417"/>
      <c r="F15" s="417"/>
      <c r="G15" s="393"/>
      <c r="H15" s="27" t="s">
        <v>4</v>
      </c>
      <c r="I15" s="159">
        <f t="shared" ref="I15" si="12">A15+J15</f>
        <v>0</v>
      </c>
      <c r="J15" s="127"/>
      <c r="K15" s="197"/>
      <c r="L15" s="118"/>
      <c r="M15" s="200"/>
      <c r="N15" s="79"/>
      <c r="O15" s="439"/>
      <c r="P15" s="439"/>
      <c r="Q15" s="338" t="str">
        <f t="shared" ref="Q15" si="13">IF(OR(ISBLANK(O15)),"",IF(AND(O15&lt;=4, P15&lt;=4),"Pass","Fail"))</f>
        <v/>
      </c>
      <c r="R15" s="439"/>
      <c r="S15" s="439"/>
      <c r="T15" s="382" t="str">
        <f t="shared" ref="T15" si="14">IF(OR(ISBLANK(R15)),"",IF(AND(R15&lt;=6.2, S15&lt;=6.2),"Pass","Fail"))</f>
        <v/>
      </c>
      <c r="U15" s="127"/>
      <c r="V15" s="157"/>
      <c r="W15" s="157"/>
      <c r="X15" s="157"/>
      <c r="Y15" s="157"/>
      <c r="Z15" s="157"/>
      <c r="AA15" s="157"/>
      <c r="AB15" s="157"/>
      <c r="AC15" s="157"/>
      <c r="AD15" s="157"/>
      <c r="AE15" s="157"/>
      <c r="AF15" s="157"/>
      <c r="AG15" s="157"/>
    </row>
    <row r="16" spans="1:33" s="6" customFormat="1" ht="15" customHeight="1" x14ac:dyDescent="0.3">
      <c r="A16" s="353"/>
      <c r="B16" s="355"/>
      <c r="C16" s="355"/>
      <c r="D16" s="355"/>
      <c r="E16" s="355"/>
      <c r="F16" s="355"/>
      <c r="G16" s="393"/>
      <c r="H16" s="105" t="s">
        <v>5</v>
      </c>
      <c r="I16" s="159">
        <f t="shared" ref="I16" si="15">A15+J16</f>
        <v>0</v>
      </c>
      <c r="J16" s="119"/>
      <c r="K16" s="197"/>
      <c r="L16" s="141"/>
      <c r="M16" s="206"/>
      <c r="N16" s="106" t="str">
        <f t="shared" ref="N16:N17" si="16">IF(OR(K16&gt;=M16, ISBLANK(K16)),"Pass","Fail")</f>
        <v>Pass</v>
      </c>
      <c r="O16" s="348"/>
      <c r="P16" s="348"/>
      <c r="Q16" s="339"/>
      <c r="R16" s="348"/>
      <c r="S16" s="348"/>
      <c r="T16" s="383"/>
      <c r="U16" s="103"/>
      <c r="V16" s="157"/>
      <c r="W16" s="157"/>
      <c r="X16" s="157"/>
      <c r="Y16" s="157"/>
      <c r="Z16" s="157"/>
      <c r="AA16" s="157"/>
      <c r="AB16" s="157"/>
      <c r="AC16" s="157"/>
      <c r="AD16" s="157"/>
      <c r="AE16" s="157"/>
      <c r="AF16" s="157"/>
      <c r="AG16" s="157"/>
    </row>
    <row r="17" spans="1:47" s="6" customFormat="1" ht="19.5" customHeight="1" thickBot="1" x14ac:dyDescent="0.35">
      <c r="A17" s="354"/>
      <c r="B17" s="356"/>
      <c r="C17" s="356"/>
      <c r="D17" s="356"/>
      <c r="E17" s="356"/>
      <c r="F17" s="356"/>
      <c r="G17" s="394"/>
      <c r="H17" s="107" t="s">
        <v>42</v>
      </c>
      <c r="I17" s="59">
        <f t="shared" ref="I17" si="17">A15+J17</f>
        <v>0</v>
      </c>
      <c r="J17" s="119"/>
      <c r="K17" s="197"/>
      <c r="L17" s="158"/>
      <c r="M17" s="196"/>
      <c r="N17" s="109" t="str">
        <f t="shared" si="16"/>
        <v>Pass</v>
      </c>
      <c r="O17" s="349"/>
      <c r="P17" s="349"/>
      <c r="Q17" s="340"/>
      <c r="R17" s="349"/>
      <c r="S17" s="349"/>
      <c r="T17" s="384"/>
      <c r="U17" s="119"/>
      <c r="V17" s="157"/>
      <c r="W17" s="157"/>
      <c r="X17" s="157"/>
      <c r="Y17" s="157"/>
      <c r="Z17" s="157"/>
      <c r="AA17" s="157"/>
      <c r="AB17" s="157"/>
      <c r="AC17" s="157"/>
      <c r="AD17" s="157"/>
      <c r="AE17" s="157"/>
      <c r="AF17" s="157"/>
      <c r="AG17" s="157"/>
    </row>
    <row r="18" spans="1:47" s="5" customFormat="1" ht="15" customHeight="1" thickTop="1" x14ac:dyDescent="0.3">
      <c r="A18" s="357"/>
      <c r="B18" s="350"/>
      <c r="C18" s="267"/>
      <c r="D18" s="267"/>
      <c r="E18" s="350"/>
      <c r="F18" s="350"/>
      <c r="G18" s="360"/>
      <c r="H18" s="37" t="s">
        <v>4</v>
      </c>
      <c r="I18" s="62">
        <f t="shared" ref="I18" si="18">A18+J18</f>
        <v>0</v>
      </c>
      <c r="J18" s="185"/>
      <c r="K18" s="285"/>
      <c r="L18" s="279"/>
      <c r="M18" s="213"/>
      <c r="N18" s="93"/>
      <c r="O18" s="330"/>
      <c r="P18" s="330"/>
      <c r="Q18" s="332" t="str">
        <f t="shared" ref="Q18" si="19">IF(OR(ISBLANK(O18)),"",IF(AND(O18&lt;=4, P18&lt;=4),"Pass","Fail"))</f>
        <v/>
      </c>
      <c r="R18" s="373"/>
      <c r="S18" s="373"/>
      <c r="T18" s="332" t="str">
        <f t="shared" ref="T18" si="20">IF(OR(ISBLANK(R18)),"",IF(AND(R18&lt;=6.2, S18&lt;=6.2),"Pass","Fail"))</f>
        <v/>
      </c>
      <c r="U18" s="61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</row>
    <row r="19" spans="1:47" s="5" customFormat="1" ht="15" customHeight="1" x14ac:dyDescent="0.3">
      <c r="A19" s="358"/>
      <c r="B19" s="351"/>
      <c r="C19" s="265"/>
      <c r="D19" s="265"/>
      <c r="E19" s="351"/>
      <c r="F19" s="351"/>
      <c r="G19" s="361"/>
      <c r="H19" s="101" t="s">
        <v>5</v>
      </c>
      <c r="I19" s="122">
        <f t="shared" ref="I19" si="21">A18+J19</f>
        <v>0</v>
      </c>
      <c r="J19" s="186"/>
      <c r="K19" s="283"/>
      <c r="L19" s="123"/>
      <c r="M19" s="208"/>
      <c r="N19" s="93" t="str">
        <f t="shared" ref="N19:N20" si="22">IF(OR(K19&gt;=M19, ISBLANK(K19)),"Pass","Fail")</f>
        <v>Pass</v>
      </c>
      <c r="O19" s="330"/>
      <c r="P19" s="330"/>
      <c r="Q19" s="333"/>
      <c r="R19" s="373"/>
      <c r="S19" s="373"/>
      <c r="T19" s="333"/>
      <c r="U19" s="90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</row>
    <row r="20" spans="1:47" s="5" customFormat="1" ht="15" customHeight="1" thickBot="1" x14ac:dyDescent="0.35">
      <c r="A20" s="359"/>
      <c r="B20" s="352"/>
      <c r="C20" s="266"/>
      <c r="D20" s="266"/>
      <c r="E20" s="352"/>
      <c r="F20" s="352"/>
      <c r="G20" s="362"/>
      <c r="H20" s="41" t="s">
        <v>42</v>
      </c>
      <c r="I20" s="122">
        <f t="shared" ref="I20" si="23">A18+J20</f>
        <v>0</v>
      </c>
      <c r="J20" s="187"/>
      <c r="K20" s="283"/>
      <c r="L20" s="123"/>
      <c r="M20" s="208"/>
      <c r="N20" s="81" t="str">
        <f t="shared" si="22"/>
        <v>Pass</v>
      </c>
      <c r="O20" s="331"/>
      <c r="P20" s="331"/>
      <c r="Q20" s="334"/>
      <c r="R20" s="374"/>
      <c r="S20" s="374"/>
      <c r="T20" s="334"/>
      <c r="U20" s="90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</row>
    <row r="21" spans="1:47" s="5" customFormat="1" ht="15" customHeight="1" thickTop="1" x14ac:dyDescent="0.3">
      <c r="A21" s="363"/>
      <c r="B21" s="417"/>
      <c r="C21" s="417"/>
      <c r="D21" s="417"/>
      <c r="E21" s="417"/>
      <c r="F21" s="417"/>
      <c r="G21" s="418"/>
      <c r="H21" s="27" t="s">
        <v>4</v>
      </c>
      <c r="I21" s="159">
        <f t="shared" ref="I21" si="24">A21+J21</f>
        <v>0</v>
      </c>
      <c r="J21" s="127"/>
      <c r="K21" s="200"/>
      <c r="L21" s="308"/>
      <c r="M21" s="200"/>
      <c r="N21" s="79"/>
      <c r="O21" s="449"/>
      <c r="P21" s="348"/>
      <c r="Q21" s="338" t="str">
        <f t="shared" ref="Q21" si="25">IF(OR(ISBLANK(O21)),"",IF(AND(O21&lt;=4, P21&lt;=4),"Pass","Fail"))</f>
        <v/>
      </c>
      <c r="R21" s="348"/>
      <c r="S21" s="348"/>
      <c r="T21" s="382" t="str">
        <f t="shared" ref="T21" si="26">IF(OR(ISBLANK(R21)),"",IF(AND(R21&lt;=6.2, S21&lt;=6.2),"Pass","Fail"))</f>
        <v/>
      </c>
      <c r="U21" s="60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U21" s="6"/>
    </row>
    <row r="22" spans="1:47" s="5" customFormat="1" ht="15" customHeight="1" x14ac:dyDescent="0.3">
      <c r="A22" s="353"/>
      <c r="B22" s="355"/>
      <c r="C22" s="355"/>
      <c r="D22" s="355"/>
      <c r="E22" s="355"/>
      <c r="F22" s="355"/>
      <c r="G22" s="393"/>
      <c r="H22" s="105" t="s">
        <v>5</v>
      </c>
      <c r="I22" s="159">
        <f t="shared" ref="I22" si="27">A21+J22</f>
        <v>0</v>
      </c>
      <c r="J22" s="129"/>
      <c r="K22" s="195"/>
      <c r="L22" s="6"/>
      <c r="M22" s="195"/>
      <c r="N22" s="106" t="str">
        <f t="shared" ref="N22:N23" si="28">IF(OR(K22&gt;=M22, ISBLANK(K22)),"Pass","Fail")</f>
        <v>Pass</v>
      </c>
      <c r="O22" s="449"/>
      <c r="P22" s="348"/>
      <c r="Q22" s="339"/>
      <c r="R22" s="348"/>
      <c r="S22" s="348"/>
      <c r="T22" s="383"/>
      <c r="U22" s="174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U22" s="6"/>
    </row>
    <row r="23" spans="1:47" s="5" customFormat="1" ht="15" customHeight="1" thickBot="1" x14ac:dyDescent="0.35">
      <c r="A23" s="353"/>
      <c r="B23" s="355"/>
      <c r="C23" s="355"/>
      <c r="D23" s="355"/>
      <c r="E23" s="355"/>
      <c r="F23" s="355"/>
      <c r="G23" s="393"/>
      <c r="H23" s="107" t="s">
        <v>42</v>
      </c>
      <c r="I23" s="59">
        <f t="shared" ref="I23" si="29">A21+J23</f>
        <v>0</v>
      </c>
      <c r="J23" s="178"/>
      <c r="K23" s="196"/>
      <c r="L23" s="178"/>
      <c r="M23" s="196"/>
      <c r="N23" s="109" t="str">
        <f t="shared" si="28"/>
        <v>Pass</v>
      </c>
      <c r="O23" s="450"/>
      <c r="P23" s="349"/>
      <c r="Q23" s="340"/>
      <c r="R23" s="349"/>
      <c r="S23" s="349"/>
      <c r="T23" s="384"/>
      <c r="U23" s="174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U23" s="6"/>
    </row>
    <row r="24" spans="1:47" s="5" customFormat="1" ht="15" customHeight="1" thickTop="1" x14ac:dyDescent="0.3">
      <c r="A24" s="440"/>
      <c r="B24" s="443"/>
      <c r="C24" s="273"/>
      <c r="D24" s="273"/>
      <c r="E24" s="443"/>
      <c r="F24" s="443"/>
      <c r="G24" s="446"/>
      <c r="H24" s="37" t="s">
        <v>4</v>
      </c>
      <c r="I24" s="62">
        <f t="shared" ref="I24" si="30">A24+J24</f>
        <v>0</v>
      </c>
      <c r="J24" s="193"/>
      <c r="K24" s="286"/>
      <c r="L24" s="236"/>
      <c r="M24" s="204"/>
      <c r="N24" s="93"/>
      <c r="O24" s="329"/>
      <c r="P24" s="329"/>
      <c r="Q24" s="332" t="str">
        <f t="shared" ref="Q24" si="31">IF(OR(ISBLANK(O24)),"",IF(AND(O24&lt;=4, P24&lt;=4),"Pass","Fail"))</f>
        <v/>
      </c>
      <c r="R24" s="329"/>
      <c r="S24" s="329"/>
      <c r="T24" s="332" t="str">
        <f t="shared" ref="T24" si="32">IF(OR(ISBLANK(R24)),"",IF(AND(R24&lt;=6.2, S24&lt;=6.2),"Pass","Fail"))</f>
        <v/>
      </c>
      <c r="U24" s="175"/>
    </row>
    <row r="25" spans="1:47" s="5" customFormat="1" ht="15" customHeight="1" x14ac:dyDescent="0.3">
      <c r="A25" s="441"/>
      <c r="B25" s="444"/>
      <c r="C25" s="274"/>
      <c r="D25" s="274"/>
      <c r="E25" s="444"/>
      <c r="F25" s="444"/>
      <c r="G25" s="447"/>
      <c r="H25" s="101" t="s">
        <v>5</v>
      </c>
      <c r="I25" s="122">
        <f t="shared" ref="I25" si="33">A24+J25</f>
        <v>0</v>
      </c>
      <c r="J25" s="186"/>
      <c r="K25" s="201"/>
      <c r="L25" s="280"/>
      <c r="M25" s="287"/>
      <c r="N25" s="93" t="str">
        <f t="shared" ref="N25:N26" si="34">IF(OR(K25&gt;=M25, ISBLANK(K25)),"Pass","Fail")</f>
        <v>Pass</v>
      </c>
      <c r="O25" s="330"/>
      <c r="P25" s="330"/>
      <c r="Q25" s="333"/>
      <c r="R25" s="330"/>
      <c r="S25" s="330"/>
      <c r="T25" s="333"/>
      <c r="U25" s="126"/>
    </row>
    <row r="26" spans="1:47" s="5" customFormat="1" ht="15" customHeight="1" thickBot="1" x14ac:dyDescent="0.35">
      <c r="A26" s="442"/>
      <c r="B26" s="445"/>
      <c r="C26" s="275"/>
      <c r="D26" s="275"/>
      <c r="E26" s="445"/>
      <c r="F26" s="445"/>
      <c r="G26" s="448"/>
      <c r="H26" s="41" t="s">
        <v>42</v>
      </c>
      <c r="I26" s="122">
        <f t="shared" ref="I26" si="35">A24+J26</f>
        <v>0</v>
      </c>
      <c r="J26" s="187"/>
      <c r="K26" s="202"/>
      <c r="L26" s="278"/>
      <c r="M26" s="202"/>
      <c r="N26" s="81" t="str">
        <f t="shared" si="34"/>
        <v>Pass</v>
      </c>
      <c r="O26" s="331"/>
      <c r="P26" s="331"/>
      <c r="Q26" s="334"/>
      <c r="R26" s="331"/>
      <c r="S26" s="331"/>
      <c r="T26" s="334"/>
      <c r="U26" s="142"/>
      <c r="V26" s="217"/>
    </row>
    <row r="27" spans="1:47" s="5" customFormat="1" ht="15" customHeight="1" thickTop="1" x14ac:dyDescent="0.3">
      <c r="A27" s="451"/>
      <c r="B27" s="454"/>
      <c r="C27" s="270"/>
      <c r="D27" s="270"/>
      <c r="E27" s="454"/>
      <c r="F27" s="454"/>
      <c r="G27" s="457"/>
      <c r="H27" s="27" t="s">
        <v>4</v>
      </c>
      <c r="I27" s="159">
        <f t="shared" ref="I27" si="36">A27+J27</f>
        <v>0</v>
      </c>
      <c r="J27" s="227"/>
      <c r="K27" s="288"/>
      <c r="L27" s="309"/>
      <c r="M27" s="289"/>
      <c r="N27" s="79"/>
      <c r="O27" s="341"/>
      <c r="P27" s="341"/>
      <c r="Q27" s="338" t="str">
        <f t="shared" ref="Q27" si="37">IF(OR(ISBLANK(O27)),"",IF(AND(O27&lt;=4, P27&lt;=4),"Pass","Fail"))</f>
        <v/>
      </c>
      <c r="R27" s="341"/>
      <c r="S27" s="341"/>
      <c r="T27" s="382" t="str">
        <f t="shared" ref="T27" si="38">IF(OR(ISBLANK(R27)),"",IF(AND(R27&lt;=6.2, S27&lt;=6.2),"Pass","Fail"))</f>
        <v/>
      </c>
      <c r="U27" s="228"/>
    </row>
    <row r="28" spans="1:47" s="5" customFormat="1" ht="15" customHeight="1" x14ac:dyDescent="0.3">
      <c r="A28" s="452"/>
      <c r="B28" s="455"/>
      <c r="C28" s="271"/>
      <c r="D28" s="271"/>
      <c r="E28" s="455"/>
      <c r="F28" s="455"/>
      <c r="G28" s="458"/>
      <c r="H28" s="105" t="s">
        <v>5</v>
      </c>
      <c r="I28" s="159">
        <f t="shared" ref="I28" si="39">A27+J28</f>
        <v>0</v>
      </c>
      <c r="J28" s="230"/>
      <c r="K28" s="290"/>
      <c r="L28" s="310"/>
      <c r="M28" s="291"/>
      <c r="N28" s="106" t="str">
        <f t="shared" ref="N28:N29" si="40">IF(OR(K28&gt;=M28, ISBLANK(K28)),"Pass","Fail")</f>
        <v>Pass</v>
      </c>
      <c r="O28" s="342"/>
      <c r="P28" s="342"/>
      <c r="Q28" s="339"/>
      <c r="R28" s="342"/>
      <c r="S28" s="342"/>
      <c r="T28" s="383"/>
      <c r="U28" s="231"/>
    </row>
    <row r="29" spans="1:47" s="5" customFormat="1" ht="15" customHeight="1" thickBot="1" x14ac:dyDescent="0.35">
      <c r="A29" s="453"/>
      <c r="B29" s="456"/>
      <c r="C29" s="272"/>
      <c r="D29" s="272"/>
      <c r="E29" s="456"/>
      <c r="F29" s="456"/>
      <c r="G29" s="459"/>
      <c r="H29" s="107" t="s">
        <v>42</v>
      </c>
      <c r="I29" s="59">
        <f t="shared" ref="I29" si="41">A27+J29</f>
        <v>0</v>
      </c>
      <c r="J29" s="234"/>
      <c r="K29" s="292"/>
      <c r="L29" s="247"/>
      <c r="M29" s="292"/>
      <c r="N29" s="109" t="str">
        <f t="shared" si="40"/>
        <v>Pass</v>
      </c>
      <c r="O29" s="343"/>
      <c r="P29" s="343"/>
      <c r="Q29" s="340"/>
      <c r="R29" s="343"/>
      <c r="S29" s="343"/>
      <c r="T29" s="384"/>
      <c r="U29" s="235"/>
    </row>
    <row r="30" spans="1:47" s="6" customFormat="1" ht="15" customHeight="1" thickTop="1" x14ac:dyDescent="0.3">
      <c r="A30" s="358"/>
      <c r="B30" s="351"/>
      <c r="C30" s="265"/>
      <c r="D30" s="265"/>
      <c r="E30" s="351"/>
      <c r="F30" s="351"/>
      <c r="G30" s="361"/>
      <c r="H30" s="37" t="s">
        <v>4</v>
      </c>
      <c r="I30" s="62">
        <f t="shared" ref="I30" si="42">A30+J30</f>
        <v>0</v>
      </c>
      <c r="J30" s="236"/>
      <c r="K30" s="213"/>
      <c r="L30" s="226"/>
      <c r="M30" s="213"/>
      <c r="N30" s="93"/>
      <c r="O30" s="329"/>
      <c r="P30" s="329"/>
      <c r="Q30" s="332" t="str">
        <f t="shared" ref="Q30" si="43">IF(OR(ISBLANK(O30)),"",IF(AND(O30&lt;=4, P30&lt;=4),"Pass","Fail"))</f>
        <v/>
      </c>
      <c r="R30" s="329"/>
      <c r="S30" s="329"/>
      <c r="T30" s="332" t="str">
        <f t="shared" ref="T30" si="44">IF(OR(ISBLANK(R30)),"",IF(AND(R30&lt;=6.2, S30&lt;=6.2),"Pass","Fail"))</f>
        <v/>
      </c>
      <c r="U30" s="40"/>
    </row>
    <row r="31" spans="1:47" s="6" customFormat="1" ht="15" customHeight="1" x14ac:dyDescent="0.3">
      <c r="A31" s="358"/>
      <c r="B31" s="351"/>
      <c r="C31" s="265"/>
      <c r="D31" s="265"/>
      <c r="E31" s="351"/>
      <c r="F31" s="351"/>
      <c r="G31" s="361"/>
      <c r="H31" s="101" t="s">
        <v>5</v>
      </c>
      <c r="I31" s="122">
        <f t="shared" ref="I31" si="45">A30+J31</f>
        <v>0</v>
      </c>
      <c r="J31" s="225"/>
      <c r="K31" s="214"/>
      <c r="L31" s="277"/>
      <c r="M31" s="214"/>
      <c r="N31" s="93" t="str">
        <f t="shared" ref="N31:N32" si="46">IF(OR(K31&gt;=M31, ISBLANK(K31)),"Pass","Fail")</f>
        <v>Pass</v>
      </c>
      <c r="O31" s="330"/>
      <c r="P31" s="330"/>
      <c r="Q31" s="333"/>
      <c r="R31" s="330"/>
      <c r="S31" s="330"/>
      <c r="T31" s="333"/>
      <c r="U31" s="102"/>
    </row>
    <row r="32" spans="1:47" s="6" customFormat="1" ht="15" customHeight="1" thickBot="1" x14ac:dyDescent="0.35">
      <c r="A32" s="359"/>
      <c r="B32" s="352"/>
      <c r="C32" s="266"/>
      <c r="D32" s="266"/>
      <c r="E32" s="352"/>
      <c r="F32" s="352"/>
      <c r="G32" s="362"/>
      <c r="H32" s="41" t="s">
        <v>42</v>
      </c>
      <c r="I32" s="122">
        <f t="shared" ref="I32" si="47">A30+J32</f>
        <v>0</v>
      </c>
      <c r="J32" s="237"/>
      <c r="K32" s="205"/>
      <c r="L32" s="278"/>
      <c r="M32" s="205"/>
      <c r="N32" s="81" t="str">
        <f t="shared" si="46"/>
        <v>Pass</v>
      </c>
      <c r="O32" s="331"/>
      <c r="P32" s="331"/>
      <c r="Q32" s="334"/>
      <c r="R32" s="331"/>
      <c r="S32" s="331"/>
      <c r="T32" s="334"/>
      <c r="U32" s="54"/>
    </row>
    <row r="33" spans="1:21" s="6" customFormat="1" ht="15" customHeight="1" thickTop="1" x14ac:dyDescent="0.3">
      <c r="A33" s="387"/>
      <c r="B33" s="345"/>
      <c r="C33" s="220"/>
      <c r="D33" s="220"/>
      <c r="E33" s="345"/>
      <c r="F33" s="344"/>
      <c r="G33" s="347"/>
      <c r="H33" s="27" t="s">
        <v>4</v>
      </c>
      <c r="I33" s="159">
        <f t="shared" ref="I33" si="48">A33+J33</f>
        <v>0</v>
      </c>
      <c r="J33" s="238"/>
      <c r="K33" s="293"/>
      <c r="L33" s="309"/>
      <c r="M33" s="289"/>
      <c r="N33" s="79"/>
      <c r="O33" s="341"/>
      <c r="P33" s="341"/>
      <c r="Q33" s="338" t="str">
        <f t="shared" ref="Q33" si="49">IF(OR(ISBLANK(O33)),"",IF(AND(O33&lt;=4, P33&lt;=4),"Pass","Fail"))</f>
        <v/>
      </c>
      <c r="R33" s="341"/>
      <c r="S33" s="341"/>
      <c r="T33" s="382" t="str">
        <f t="shared" ref="T33" si="50">IF(OR(ISBLANK(R33)),"",IF(AND(R33&lt;=6.2, S33&lt;=6.2),"Pass","Fail"))</f>
        <v/>
      </c>
      <c r="U33" s="144"/>
    </row>
    <row r="34" spans="1:21" s="6" customFormat="1" ht="15" customHeight="1" x14ac:dyDescent="0.3">
      <c r="A34" s="387"/>
      <c r="B34" s="345"/>
      <c r="C34" s="220"/>
      <c r="D34" s="220"/>
      <c r="E34" s="345"/>
      <c r="F34" s="345"/>
      <c r="G34" s="347"/>
      <c r="H34" s="105" t="s">
        <v>5</v>
      </c>
      <c r="I34" s="159">
        <f t="shared" ref="I34" si="51">A33+J34</f>
        <v>0</v>
      </c>
      <c r="J34" s="230"/>
      <c r="K34" s="294"/>
      <c r="L34" s="310"/>
      <c r="M34" s="291"/>
      <c r="N34" s="106" t="str">
        <f t="shared" ref="N34:N35" si="52">IF(OR(K34&gt;=M34, ISBLANK(K34)),"Pass","Fail")</f>
        <v>Pass</v>
      </c>
      <c r="O34" s="342"/>
      <c r="P34" s="342"/>
      <c r="Q34" s="339"/>
      <c r="R34" s="342"/>
      <c r="S34" s="342"/>
      <c r="T34" s="383"/>
      <c r="U34" s="146"/>
    </row>
    <row r="35" spans="1:21" s="6" customFormat="1" ht="15" customHeight="1" thickBot="1" x14ac:dyDescent="0.35">
      <c r="A35" s="388"/>
      <c r="B35" s="364"/>
      <c r="C35" s="221"/>
      <c r="D35" s="221"/>
      <c r="E35" s="364"/>
      <c r="F35" s="364"/>
      <c r="G35" s="385"/>
      <c r="H35" s="107" t="s">
        <v>42</v>
      </c>
      <c r="I35" s="59">
        <f t="shared" ref="I35" si="53">A33+J35</f>
        <v>0</v>
      </c>
      <c r="J35" s="234"/>
      <c r="K35" s="295"/>
      <c r="L35" s="245"/>
      <c r="M35" s="292"/>
      <c r="N35" s="109" t="str">
        <f t="shared" si="52"/>
        <v>Pass</v>
      </c>
      <c r="O35" s="343"/>
      <c r="P35" s="343"/>
      <c r="Q35" s="340"/>
      <c r="R35" s="343"/>
      <c r="S35" s="343"/>
      <c r="T35" s="384"/>
      <c r="U35" s="239"/>
    </row>
    <row r="36" spans="1:21" s="5" customFormat="1" ht="15" customHeight="1" thickTop="1" x14ac:dyDescent="0.3">
      <c r="A36" s="357"/>
      <c r="B36" s="350"/>
      <c r="C36" s="267"/>
      <c r="D36" s="267"/>
      <c r="E36" s="350"/>
      <c r="F36" s="350"/>
      <c r="G36" s="360"/>
      <c r="H36" s="37" t="s">
        <v>4</v>
      </c>
      <c r="I36" s="62">
        <f t="shared" ref="I36" si="54">A36+J36</f>
        <v>0</v>
      </c>
      <c r="J36" s="236"/>
      <c r="K36" s="203"/>
      <c r="L36" s="311"/>
      <c r="M36" s="213"/>
      <c r="N36" s="93"/>
      <c r="O36" s="329"/>
      <c r="P36" s="329"/>
      <c r="Q36" s="332" t="str">
        <f t="shared" ref="Q36" si="55">IF(OR(ISBLANK(O36)),"",IF(AND(O36&lt;=4, P36&lt;=4),"Pass","Fail"))</f>
        <v/>
      </c>
      <c r="R36" s="329"/>
      <c r="S36" s="329"/>
      <c r="T36" s="332" t="str">
        <f t="shared" ref="T36" si="56">IF(OR(ISBLANK(R36)),"",IF(AND(R36&lt;=6.2, S36&lt;=6.2),"Pass","Fail"))</f>
        <v/>
      </c>
      <c r="U36" s="49"/>
    </row>
    <row r="37" spans="1:21" s="5" customFormat="1" ht="15" customHeight="1" x14ac:dyDescent="0.3">
      <c r="A37" s="358"/>
      <c r="B37" s="351"/>
      <c r="C37" s="265"/>
      <c r="D37" s="265"/>
      <c r="E37" s="351"/>
      <c r="F37" s="351"/>
      <c r="G37" s="361"/>
      <c r="H37" s="101" t="s">
        <v>5</v>
      </c>
      <c r="I37" s="122">
        <f t="shared" ref="I37" si="57">A36+J37</f>
        <v>0</v>
      </c>
      <c r="J37" s="225"/>
      <c r="K37" s="283"/>
      <c r="L37" s="281"/>
      <c r="M37" s="214"/>
      <c r="N37" s="93" t="str">
        <f t="shared" ref="N37:N38" si="58">IF(OR(K37&gt;=M37, ISBLANK(K37)),"Pass","Fail")</f>
        <v>Pass</v>
      </c>
      <c r="O37" s="330"/>
      <c r="P37" s="330"/>
      <c r="Q37" s="333"/>
      <c r="R37" s="330"/>
      <c r="S37" s="330"/>
      <c r="T37" s="333"/>
      <c r="U37" s="102"/>
    </row>
    <row r="38" spans="1:21" s="5" customFormat="1" ht="15" customHeight="1" thickBot="1" x14ac:dyDescent="0.35">
      <c r="A38" s="359"/>
      <c r="B38" s="352"/>
      <c r="C38" s="266"/>
      <c r="D38" s="266"/>
      <c r="E38" s="352"/>
      <c r="F38" s="352"/>
      <c r="G38" s="362"/>
      <c r="H38" s="41" t="s">
        <v>42</v>
      </c>
      <c r="I38" s="122">
        <f t="shared" ref="I38" si="59">A36+J38</f>
        <v>0</v>
      </c>
      <c r="J38" s="237"/>
      <c r="K38" s="312"/>
      <c r="L38" s="278"/>
      <c r="M38" s="205"/>
      <c r="N38" s="81" t="str">
        <f t="shared" si="58"/>
        <v>Pass</v>
      </c>
      <c r="O38" s="331"/>
      <c r="P38" s="331"/>
      <c r="Q38" s="334"/>
      <c r="R38" s="331"/>
      <c r="S38" s="331"/>
      <c r="T38" s="334"/>
      <c r="U38" s="54"/>
    </row>
    <row r="39" spans="1:21" s="5" customFormat="1" ht="15" customHeight="1" thickTop="1" x14ac:dyDescent="0.3">
      <c r="A39" s="386"/>
      <c r="B39" s="344"/>
      <c r="C39" s="220"/>
      <c r="D39" s="220"/>
      <c r="E39" s="345"/>
      <c r="F39" s="344"/>
      <c r="G39" s="346"/>
      <c r="H39" s="27" t="s">
        <v>4</v>
      </c>
      <c r="I39" s="159">
        <f t="shared" ref="I39" si="60">A39+J39</f>
        <v>0</v>
      </c>
      <c r="J39" s="238"/>
      <c r="K39" s="293"/>
      <c r="L39" s="313"/>
      <c r="M39" s="289"/>
      <c r="N39" s="79"/>
      <c r="O39" s="341"/>
      <c r="P39" s="341"/>
      <c r="Q39" s="338" t="str">
        <f t="shared" ref="Q39" si="61">IF(OR(ISBLANK(O39)),"",IF(AND(O39&lt;=4, P39&lt;=4),"Pass","Fail"))</f>
        <v/>
      </c>
      <c r="R39" s="341"/>
      <c r="S39" s="341"/>
      <c r="T39" s="382" t="str">
        <f>IF(OR(ISBLANK(R39)),"",IF(AND(R39&lt;=6.2, S39&lt;=6.2),"Pass","Fail"))</f>
        <v/>
      </c>
      <c r="U39" s="144"/>
    </row>
    <row r="40" spans="1:21" s="5" customFormat="1" ht="15" customHeight="1" x14ac:dyDescent="0.3">
      <c r="A40" s="387"/>
      <c r="B40" s="345"/>
      <c r="C40" s="220"/>
      <c r="D40" s="220"/>
      <c r="E40" s="345"/>
      <c r="F40" s="345"/>
      <c r="G40" s="347"/>
      <c r="H40" s="105" t="s">
        <v>5</v>
      </c>
      <c r="I40" s="159">
        <f t="shared" ref="I40" si="62">A39+J40</f>
        <v>0</v>
      </c>
      <c r="J40" s="240"/>
      <c r="K40" s="296"/>
      <c r="L40" s="314"/>
      <c r="M40" s="291"/>
      <c r="N40" s="106" t="str">
        <f t="shared" ref="N40:N41" si="63">IF(OR(K40&gt;=M40, ISBLANK(K40)),"Pass","Fail")</f>
        <v>Pass</v>
      </c>
      <c r="O40" s="342"/>
      <c r="P40" s="342"/>
      <c r="Q40" s="339"/>
      <c r="R40" s="342"/>
      <c r="S40" s="342"/>
      <c r="T40" s="383"/>
      <c r="U40" s="146"/>
    </row>
    <row r="41" spans="1:21" s="5" customFormat="1" ht="15" customHeight="1" thickBot="1" x14ac:dyDescent="0.35">
      <c r="A41" s="388"/>
      <c r="B41" s="345"/>
      <c r="C41" s="220"/>
      <c r="D41" s="220"/>
      <c r="E41" s="364"/>
      <c r="F41" s="364"/>
      <c r="G41" s="347"/>
      <c r="H41" s="107" t="s">
        <v>42</v>
      </c>
      <c r="I41" s="59">
        <f t="shared" ref="I41" si="64">A39+J41</f>
        <v>0</v>
      </c>
      <c r="J41" s="232"/>
      <c r="K41" s="296"/>
      <c r="L41" s="245"/>
      <c r="M41" s="292"/>
      <c r="N41" s="109" t="str">
        <f t="shared" si="63"/>
        <v>Pass</v>
      </c>
      <c r="O41" s="343"/>
      <c r="P41" s="343"/>
      <c r="Q41" s="340"/>
      <c r="R41" s="343"/>
      <c r="S41" s="343"/>
      <c r="T41" s="384"/>
      <c r="U41" s="239"/>
    </row>
    <row r="42" spans="1:21" s="5" customFormat="1" ht="15" customHeight="1" thickTop="1" x14ac:dyDescent="0.3">
      <c r="A42" s="357"/>
      <c r="B42" s="350"/>
      <c r="C42" s="267"/>
      <c r="D42" s="267"/>
      <c r="E42" s="350"/>
      <c r="F42" s="350"/>
      <c r="G42" s="407"/>
      <c r="H42" s="37" t="s">
        <v>4</v>
      </c>
      <c r="I42" s="62">
        <f t="shared" ref="I42" si="65">A42+J42</f>
        <v>0</v>
      </c>
      <c r="J42" s="236"/>
      <c r="K42" s="297"/>
      <c r="L42" s="315"/>
      <c r="M42" s="213"/>
      <c r="N42" s="93"/>
      <c r="O42" s="372"/>
      <c r="P42" s="372"/>
      <c r="Q42" s="332" t="str">
        <f t="shared" ref="Q42" si="66">IF(OR(ISBLANK(O42)),"",IF(AND(O42&lt;=4, P42&lt;=4),"Pass","Fail"))</f>
        <v/>
      </c>
      <c r="R42" s="329"/>
      <c r="S42" s="329"/>
      <c r="T42" s="332" t="str">
        <f>IF(OR(ISBLANK(R42)),"",IF(AND(R42&lt;=6.2, S42&lt;=6.2),"Pass","Fail"))</f>
        <v/>
      </c>
      <c r="U42" s="45"/>
    </row>
    <row r="43" spans="1:21" s="5" customFormat="1" ht="15" customHeight="1" x14ac:dyDescent="0.3">
      <c r="A43" s="358"/>
      <c r="B43" s="351"/>
      <c r="C43" s="265"/>
      <c r="D43" s="265"/>
      <c r="E43" s="351"/>
      <c r="F43" s="351"/>
      <c r="G43" s="408"/>
      <c r="H43" s="101" t="s">
        <v>5</v>
      </c>
      <c r="I43" s="122">
        <f t="shared" ref="I43" si="67">A42+J43</f>
        <v>0</v>
      </c>
      <c r="J43" s="225"/>
      <c r="K43" s="298"/>
      <c r="L43" s="125"/>
      <c r="M43" s="214"/>
      <c r="N43" s="93" t="str">
        <f t="shared" ref="N43:N44" si="68">IF(OR(K43&gt;=M43, ISBLANK(K43)),"Pass","Fail")</f>
        <v>Pass</v>
      </c>
      <c r="O43" s="373"/>
      <c r="P43" s="373"/>
      <c r="Q43" s="333"/>
      <c r="R43" s="330"/>
      <c r="S43" s="330"/>
      <c r="T43" s="333"/>
      <c r="U43" s="101"/>
    </row>
    <row r="44" spans="1:21" s="5" customFormat="1" ht="15" customHeight="1" thickBot="1" x14ac:dyDescent="0.35">
      <c r="A44" s="359"/>
      <c r="B44" s="352"/>
      <c r="C44" s="266"/>
      <c r="D44" s="266"/>
      <c r="E44" s="352"/>
      <c r="F44" s="352"/>
      <c r="G44" s="409"/>
      <c r="H44" s="41" t="s">
        <v>42</v>
      </c>
      <c r="I44" s="122">
        <f t="shared" ref="I44" si="69">A42+J44</f>
        <v>0</v>
      </c>
      <c r="J44" s="237"/>
      <c r="K44" s="299"/>
      <c r="L44" s="237"/>
      <c r="M44" s="205"/>
      <c r="N44" s="81" t="str">
        <f t="shared" si="68"/>
        <v>Pass</v>
      </c>
      <c r="O44" s="374"/>
      <c r="P44" s="374"/>
      <c r="Q44" s="334"/>
      <c r="R44" s="331"/>
      <c r="S44" s="331"/>
      <c r="T44" s="334"/>
      <c r="U44" s="50"/>
    </row>
    <row r="45" spans="1:21" s="6" customFormat="1" ht="15" customHeight="1" thickTop="1" x14ac:dyDescent="0.3">
      <c r="A45" s="386"/>
      <c r="B45" s="410"/>
      <c r="C45" s="269"/>
      <c r="D45" s="269"/>
      <c r="E45" s="344"/>
      <c r="F45" s="410"/>
      <c r="G45" s="346"/>
      <c r="H45" s="27" t="s">
        <v>4</v>
      </c>
      <c r="I45" s="159">
        <f t="shared" ref="I45" si="70">A45+J45</f>
        <v>0</v>
      </c>
      <c r="J45" s="238"/>
      <c r="K45" s="300"/>
      <c r="L45" s="243"/>
      <c r="M45" s="289"/>
      <c r="N45" s="79"/>
      <c r="O45" s="375"/>
      <c r="P45" s="375"/>
      <c r="Q45" s="338" t="str">
        <f t="shared" ref="Q45" si="71">IF(OR(ISBLANK(O45)),"",IF(AND(O45&lt;=4, P45&lt;=4),"Pass","Fail"))</f>
        <v/>
      </c>
      <c r="R45" s="341"/>
      <c r="S45" s="341"/>
      <c r="T45" s="382" t="str">
        <f t="shared" ref="T45" si="72">IF(OR(ISBLANK(R45)),"",IF(AND(R45&lt;=6.2, S45&lt;=6.2),"Pass","Fail"))</f>
        <v/>
      </c>
      <c r="U45" s="244"/>
    </row>
    <row r="46" spans="1:21" s="6" customFormat="1" ht="15" customHeight="1" x14ac:dyDescent="0.3">
      <c r="A46" s="387"/>
      <c r="B46" s="411"/>
      <c r="C46" s="222"/>
      <c r="D46" s="222"/>
      <c r="E46" s="345"/>
      <c r="F46" s="411"/>
      <c r="G46" s="347"/>
      <c r="H46" s="105" t="s">
        <v>5</v>
      </c>
      <c r="I46" s="159">
        <f t="shared" ref="I46" si="73">A45+J46</f>
        <v>0</v>
      </c>
      <c r="J46" s="230"/>
      <c r="K46" s="295"/>
      <c r="L46" s="245"/>
      <c r="M46" s="291"/>
      <c r="N46" s="106" t="str">
        <f t="shared" ref="N46:N47" si="74">IF(OR(K46&gt;=M46, ISBLANK(K46)),"Pass","Fail")</f>
        <v>Pass</v>
      </c>
      <c r="O46" s="376"/>
      <c r="P46" s="376"/>
      <c r="Q46" s="339"/>
      <c r="R46" s="342"/>
      <c r="S46" s="342"/>
      <c r="T46" s="383"/>
      <c r="U46" s="246"/>
    </row>
    <row r="47" spans="1:21" s="6" customFormat="1" ht="15" customHeight="1" thickBot="1" x14ac:dyDescent="0.35">
      <c r="A47" s="387"/>
      <c r="B47" s="411"/>
      <c r="C47" s="222"/>
      <c r="D47" s="222"/>
      <c r="E47" s="345"/>
      <c r="F47" s="411"/>
      <c r="G47" s="347"/>
      <c r="H47" s="107" t="s">
        <v>42</v>
      </c>
      <c r="I47" s="59">
        <f t="shared" ref="I47" si="75">A45+J47</f>
        <v>0</v>
      </c>
      <c r="J47" s="234"/>
      <c r="K47" s="301"/>
      <c r="L47" s="247"/>
      <c r="M47" s="292"/>
      <c r="N47" s="109" t="str">
        <f t="shared" si="74"/>
        <v>Pass</v>
      </c>
      <c r="O47" s="377"/>
      <c r="P47" s="377"/>
      <c r="Q47" s="340"/>
      <c r="R47" s="343"/>
      <c r="S47" s="343"/>
      <c r="T47" s="384"/>
      <c r="U47" s="248"/>
    </row>
    <row r="48" spans="1:21" s="5" customFormat="1" ht="15" customHeight="1" thickTop="1" x14ac:dyDescent="0.3">
      <c r="A48" s="357"/>
      <c r="B48" s="350"/>
      <c r="C48" s="267"/>
      <c r="D48" s="267"/>
      <c r="E48" s="350"/>
      <c r="F48" s="350"/>
      <c r="G48" s="360"/>
      <c r="H48" s="37" t="s">
        <v>4</v>
      </c>
      <c r="I48" s="62">
        <f t="shared" ref="I48" si="76">A48+J48</f>
        <v>0</v>
      </c>
      <c r="J48" s="236"/>
      <c r="K48" s="207"/>
      <c r="L48" s="152"/>
      <c r="M48" s="213"/>
      <c r="N48" s="93"/>
      <c r="O48" s="372"/>
      <c r="P48" s="372"/>
      <c r="Q48" s="332" t="str">
        <f t="shared" ref="Q48" si="77">IF(OR(ISBLANK(O48)),"",IF(AND(O48&lt;=4, P48&lt;=4),"Pass","Fail"))</f>
        <v/>
      </c>
      <c r="R48" s="329"/>
      <c r="S48" s="329"/>
      <c r="T48" s="332" t="str">
        <f>IF(OR(ISBLANK(R48)),"",IF(AND(R48&lt;=6.2, S48&lt;=6.2),"Pass","Fail"))</f>
        <v/>
      </c>
      <c r="U48" s="49"/>
    </row>
    <row r="49" spans="1:22" s="5" customFormat="1" ht="15" customHeight="1" x14ac:dyDescent="0.3">
      <c r="A49" s="358"/>
      <c r="B49" s="351"/>
      <c r="C49" s="265"/>
      <c r="D49" s="265"/>
      <c r="E49" s="351"/>
      <c r="F49" s="351"/>
      <c r="G49" s="361"/>
      <c r="H49" s="101" t="s">
        <v>5</v>
      </c>
      <c r="I49" s="122">
        <f t="shared" ref="I49" si="78">A48+J49</f>
        <v>0</v>
      </c>
      <c r="J49" s="225"/>
      <c r="K49" s="198"/>
      <c r="L49" s="173"/>
      <c r="M49" s="214"/>
      <c r="N49" s="93" t="str">
        <f t="shared" ref="N49:N50" si="79">IF(OR(K49&gt;=M49, ISBLANK(K49)),"Pass","Fail")</f>
        <v>Pass</v>
      </c>
      <c r="O49" s="373"/>
      <c r="P49" s="373"/>
      <c r="Q49" s="333"/>
      <c r="R49" s="330"/>
      <c r="S49" s="330"/>
      <c r="T49" s="333"/>
      <c r="U49" s="92"/>
    </row>
    <row r="50" spans="1:22" s="5" customFormat="1" ht="15" customHeight="1" thickBot="1" x14ac:dyDescent="0.35">
      <c r="A50" s="358"/>
      <c r="B50" s="351"/>
      <c r="C50" s="265"/>
      <c r="D50" s="265"/>
      <c r="E50" s="351"/>
      <c r="F50" s="352"/>
      <c r="G50" s="361"/>
      <c r="H50" s="41" t="s">
        <v>42</v>
      </c>
      <c r="I50" s="122">
        <f t="shared" ref="I50" si="80">A48+J50</f>
        <v>0</v>
      </c>
      <c r="J50" s="237"/>
      <c r="K50" s="299"/>
      <c r="L50" s="278"/>
      <c r="M50" s="205"/>
      <c r="N50" s="81" t="str">
        <f t="shared" si="79"/>
        <v>Pass</v>
      </c>
      <c r="O50" s="374"/>
      <c r="P50" s="374"/>
      <c r="Q50" s="334"/>
      <c r="R50" s="331"/>
      <c r="S50" s="331"/>
      <c r="T50" s="334"/>
      <c r="U50" s="54"/>
    </row>
    <row r="51" spans="1:22" ht="13.5" customHeight="1" thickTop="1" x14ac:dyDescent="0.3">
      <c r="A51" s="386"/>
      <c r="B51" s="344"/>
      <c r="C51" s="268"/>
      <c r="D51" s="268"/>
      <c r="E51" s="344"/>
      <c r="F51" s="410"/>
      <c r="G51" s="344"/>
      <c r="H51" s="27" t="s">
        <v>4</v>
      </c>
      <c r="I51" s="159">
        <f t="shared" ref="I51" si="81">A51+J51</f>
        <v>0</v>
      </c>
      <c r="J51" s="238"/>
      <c r="K51" s="300"/>
      <c r="L51" s="251"/>
      <c r="M51" s="289"/>
      <c r="N51" s="79"/>
      <c r="O51" s="375"/>
      <c r="P51" s="375"/>
      <c r="Q51" s="338" t="str">
        <f t="shared" ref="Q51" si="82">IF(OR(ISBLANK(O51)),"",IF(AND(O51&lt;=4, P51&lt;=4),"Pass","Fail"))</f>
        <v/>
      </c>
      <c r="R51" s="341"/>
      <c r="S51" s="341"/>
      <c r="T51" s="382" t="str">
        <f>IF(OR(ISBLANK(R51)),"",IF(AND(R51&lt;=6.2, S51&lt;=6.2),"Pass","Fail"))</f>
        <v/>
      </c>
      <c r="U51" s="249"/>
    </row>
    <row r="52" spans="1:22" ht="13" x14ac:dyDescent="0.3">
      <c r="A52" s="387"/>
      <c r="B52" s="345"/>
      <c r="C52" s="220"/>
      <c r="D52" s="220"/>
      <c r="E52" s="345"/>
      <c r="F52" s="411"/>
      <c r="G52" s="345"/>
      <c r="H52" s="105" t="s">
        <v>5</v>
      </c>
      <c r="I52" s="159">
        <f t="shared" ref="I52" si="83">A51+J52</f>
        <v>0</v>
      </c>
      <c r="J52" s="230"/>
      <c r="K52" s="290"/>
      <c r="L52" s="253"/>
      <c r="M52" s="290"/>
      <c r="N52" s="106" t="str">
        <f t="shared" ref="N52:N53" si="84">IF(OR(K52&gt;=M52, ISBLANK(K52)),"Pass","Fail")</f>
        <v>Pass</v>
      </c>
      <c r="O52" s="376"/>
      <c r="P52" s="376"/>
      <c r="Q52" s="339"/>
      <c r="R52" s="342"/>
      <c r="S52" s="342"/>
      <c r="T52" s="383"/>
      <c r="U52" s="242"/>
    </row>
    <row r="53" spans="1:22" ht="12" customHeight="1" thickBot="1" x14ac:dyDescent="0.35">
      <c r="A53" s="387"/>
      <c r="B53" s="345"/>
      <c r="C53" s="220"/>
      <c r="D53" s="220"/>
      <c r="E53" s="345"/>
      <c r="F53" s="411"/>
      <c r="G53" s="345"/>
      <c r="H53" s="107" t="s">
        <v>42</v>
      </c>
      <c r="I53" s="59">
        <f t="shared" ref="I53" si="85">A51+J53</f>
        <v>0</v>
      </c>
      <c r="J53" s="107"/>
      <c r="K53" s="290"/>
      <c r="L53" s="224"/>
      <c r="M53" s="302"/>
      <c r="N53" s="109" t="str">
        <f t="shared" si="84"/>
        <v>Pass</v>
      </c>
      <c r="O53" s="377"/>
      <c r="P53" s="377"/>
      <c r="Q53" s="340"/>
      <c r="R53" s="343"/>
      <c r="S53" s="343"/>
      <c r="T53" s="384"/>
      <c r="U53" s="147"/>
    </row>
    <row r="54" spans="1:22" s="96" customFormat="1" ht="15.75" customHeight="1" thickTop="1" x14ac:dyDescent="0.3">
      <c r="A54" s="357"/>
      <c r="B54" s="350"/>
      <c r="C54" s="267"/>
      <c r="D54" s="267"/>
      <c r="E54" s="350"/>
      <c r="F54" s="350"/>
      <c r="G54" s="360"/>
      <c r="H54" s="37" t="s">
        <v>4</v>
      </c>
      <c r="I54" s="62">
        <f t="shared" ref="I54" si="86">A54+J54</f>
        <v>0</v>
      </c>
      <c r="J54" s="236"/>
      <c r="K54" s="207"/>
      <c r="L54" s="152"/>
      <c r="M54" s="213"/>
      <c r="N54" s="93"/>
      <c r="O54" s="366"/>
      <c r="P54" s="372"/>
      <c r="Q54" s="332" t="str">
        <f t="shared" ref="Q54" si="87">IF(OR(ISBLANK(O54)),"",IF(AND(O54&lt;=4, P54&lt;=4),"Pass","Fail"))</f>
        <v/>
      </c>
      <c r="R54" s="329"/>
      <c r="S54" s="329"/>
      <c r="T54" s="332" t="str">
        <f t="shared" ref="T54" si="88">IF(OR(ISBLANK(R54)),"",IF(AND(R54&lt;=6.2, S54&lt;=6.2),"Pass","Fail"))</f>
        <v/>
      </c>
      <c r="U54" s="65"/>
    </row>
    <row r="55" spans="1:22" s="96" customFormat="1" ht="15.75" customHeight="1" x14ac:dyDescent="0.3">
      <c r="A55" s="358"/>
      <c r="B55" s="351"/>
      <c r="C55" s="265"/>
      <c r="D55" s="265"/>
      <c r="E55" s="351"/>
      <c r="F55" s="351"/>
      <c r="G55" s="361"/>
      <c r="H55" s="101" t="s">
        <v>5</v>
      </c>
      <c r="I55" s="122">
        <f t="shared" ref="I55" si="89">A54+J55</f>
        <v>0</v>
      </c>
      <c r="J55" s="225"/>
      <c r="K55" s="198"/>
      <c r="L55" s="173"/>
      <c r="M55" s="214"/>
      <c r="N55" s="93" t="str">
        <f t="shared" ref="N55:N56" si="90">IF(OR(K55&gt;=M55, ISBLANK(K55)),"Pass","Fail")</f>
        <v>Pass</v>
      </c>
      <c r="O55" s="367"/>
      <c r="P55" s="373"/>
      <c r="Q55" s="333"/>
      <c r="R55" s="330"/>
      <c r="S55" s="330"/>
      <c r="T55" s="333"/>
      <c r="U55" s="161"/>
    </row>
    <row r="56" spans="1:22" s="96" customFormat="1" ht="15.75" customHeight="1" thickBot="1" x14ac:dyDescent="0.35">
      <c r="A56" s="358"/>
      <c r="B56" s="351"/>
      <c r="C56" s="265"/>
      <c r="D56" s="265"/>
      <c r="E56" s="351"/>
      <c r="F56" s="352"/>
      <c r="G56" s="361"/>
      <c r="H56" s="41" t="s">
        <v>42</v>
      </c>
      <c r="I56" s="122">
        <f t="shared" ref="I56" si="91">A54+J56</f>
        <v>0</v>
      </c>
      <c r="J56" s="237"/>
      <c r="K56" s="198"/>
      <c r="L56" s="278"/>
      <c r="M56" s="205"/>
      <c r="N56" s="81" t="str">
        <f t="shared" si="90"/>
        <v>Pass</v>
      </c>
      <c r="O56" s="368"/>
      <c r="P56" s="374"/>
      <c r="Q56" s="334"/>
      <c r="R56" s="331"/>
      <c r="S56" s="331"/>
      <c r="T56" s="334"/>
      <c r="U56" s="161"/>
    </row>
    <row r="57" spans="1:22" ht="13.5" customHeight="1" thickTop="1" x14ac:dyDescent="0.3">
      <c r="A57" s="386"/>
      <c r="B57" s="344"/>
      <c r="C57" s="268"/>
      <c r="D57" s="268"/>
      <c r="E57" s="344"/>
      <c r="F57" s="344"/>
      <c r="G57" s="346"/>
      <c r="H57" s="27" t="s">
        <v>4</v>
      </c>
      <c r="I57" s="159">
        <f t="shared" ref="I57" si="92">A57+J57</f>
        <v>0</v>
      </c>
      <c r="J57" s="238"/>
      <c r="K57" s="300"/>
      <c r="L57" s="251"/>
      <c r="M57" s="289"/>
      <c r="N57" s="79"/>
      <c r="O57" s="335"/>
      <c r="P57" s="375"/>
      <c r="Q57" s="338" t="str">
        <f t="shared" ref="Q57" si="93">IF(OR(ISBLANK(O57)),"",IF(AND(O57&lt;=4, P57&lt;=4),"Pass","Fail"))</f>
        <v/>
      </c>
      <c r="R57" s="341"/>
      <c r="S57" s="341"/>
      <c r="T57" s="338"/>
      <c r="U57" s="249"/>
      <c r="V57" s="365"/>
    </row>
    <row r="58" spans="1:22" ht="15" customHeight="1" x14ac:dyDescent="0.3">
      <c r="A58" s="387"/>
      <c r="B58" s="345"/>
      <c r="C58" s="220"/>
      <c r="D58" s="220"/>
      <c r="E58" s="345"/>
      <c r="F58" s="345"/>
      <c r="G58" s="347"/>
      <c r="H58" s="105" t="s">
        <v>5</v>
      </c>
      <c r="I58" s="159">
        <f t="shared" ref="I58" si="94">A57+J58</f>
        <v>0</v>
      </c>
      <c r="J58" s="230"/>
      <c r="K58" s="290"/>
      <c r="L58" s="253"/>
      <c r="M58" s="291"/>
      <c r="N58" s="106" t="str">
        <f t="shared" ref="N58:N59" si="95">IF(OR(K58&gt;=M58, ISBLANK(K58)),"Pass","Fail")</f>
        <v>Pass</v>
      </c>
      <c r="O58" s="336"/>
      <c r="P58" s="376"/>
      <c r="Q58" s="339"/>
      <c r="R58" s="342"/>
      <c r="S58" s="342"/>
      <c r="T58" s="339"/>
      <c r="U58" s="242"/>
      <c r="V58" s="365"/>
    </row>
    <row r="59" spans="1:22" ht="15" customHeight="1" thickBot="1" x14ac:dyDescent="0.35">
      <c r="A59" s="388"/>
      <c r="B59" s="364"/>
      <c r="C59" s="221"/>
      <c r="D59" s="221"/>
      <c r="E59" s="364"/>
      <c r="F59" s="364"/>
      <c r="G59" s="385"/>
      <c r="H59" s="107" t="s">
        <v>42</v>
      </c>
      <c r="I59" s="59">
        <f t="shared" ref="I59" si="96">A57+J59</f>
        <v>0</v>
      </c>
      <c r="J59" s="234"/>
      <c r="K59" s="301"/>
      <c r="L59" s="247"/>
      <c r="M59" s="292"/>
      <c r="N59" s="109" t="str">
        <f t="shared" si="95"/>
        <v>Pass</v>
      </c>
      <c r="O59" s="337"/>
      <c r="P59" s="377"/>
      <c r="Q59" s="340"/>
      <c r="R59" s="343"/>
      <c r="S59" s="343"/>
      <c r="T59" s="340"/>
      <c r="U59" s="147"/>
      <c r="V59" s="429"/>
    </row>
    <row r="60" spans="1:22" s="96" customFormat="1" ht="13.5" customHeight="1" thickTop="1" x14ac:dyDescent="0.3">
      <c r="A60" s="412"/>
      <c r="B60" s="351"/>
      <c r="C60" s="265"/>
      <c r="D60" s="265"/>
      <c r="E60" s="351"/>
      <c r="F60" s="350"/>
      <c r="G60" s="361"/>
      <c r="H60" s="37" t="s">
        <v>4</v>
      </c>
      <c r="I60" s="62">
        <f t="shared" ref="I60" si="97">A60+J60</f>
        <v>0</v>
      </c>
      <c r="J60" s="236"/>
      <c r="K60" s="207"/>
      <c r="L60" s="152"/>
      <c r="M60" s="213"/>
      <c r="N60" s="93"/>
      <c r="O60" s="372"/>
      <c r="P60" s="372"/>
      <c r="Q60" s="332" t="str">
        <f t="shared" ref="Q60" si="98">IF(OR(ISBLANK(O60)),"",IF(AND(O60&lt;=4, P60&lt;=4),"Pass","Fail"))</f>
        <v/>
      </c>
      <c r="R60" s="329"/>
      <c r="S60" s="329"/>
      <c r="T60" s="332"/>
      <c r="U60" s="65"/>
      <c r="V60" s="426"/>
    </row>
    <row r="61" spans="1:22" s="96" customFormat="1" ht="13" x14ac:dyDescent="0.3">
      <c r="A61" s="412"/>
      <c r="B61" s="351"/>
      <c r="C61" s="265"/>
      <c r="D61" s="265"/>
      <c r="E61" s="351"/>
      <c r="F61" s="351"/>
      <c r="G61" s="361"/>
      <c r="H61" s="101" t="s">
        <v>5</v>
      </c>
      <c r="I61" s="122">
        <f t="shared" ref="I61" si="99">A60+J61</f>
        <v>0</v>
      </c>
      <c r="J61" s="225"/>
      <c r="K61" s="198"/>
      <c r="L61" s="173"/>
      <c r="M61" s="214"/>
      <c r="N61" s="93" t="str">
        <f t="shared" ref="N61:N62" si="100">IF(OR(K61&gt;=M61, ISBLANK(K61)),"Pass","Fail")</f>
        <v>Pass</v>
      </c>
      <c r="O61" s="373"/>
      <c r="P61" s="373"/>
      <c r="Q61" s="333"/>
      <c r="R61" s="330"/>
      <c r="S61" s="330"/>
      <c r="T61" s="333"/>
      <c r="U61" s="161"/>
      <c r="V61" s="427"/>
    </row>
    <row r="62" spans="1:22" s="96" customFormat="1" ht="13.5" thickBot="1" x14ac:dyDescent="0.35">
      <c r="A62" s="412"/>
      <c r="B62" s="351"/>
      <c r="C62" s="265"/>
      <c r="D62" s="265"/>
      <c r="E62" s="351"/>
      <c r="F62" s="352"/>
      <c r="G62" s="361"/>
      <c r="H62" s="41" t="s">
        <v>42</v>
      </c>
      <c r="I62" s="122">
        <f t="shared" ref="I62" si="101">A60+J62</f>
        <v>0</v>
      </c>
      <c r="J62" s="237"/>
      <c r="K62" s="299"/>
      <c r="L62" s="278"/>
      <c r="M62" s="205"/>
      <c r="N62" s="81" t="str">
        <f t="shared" si="100"/>
        <v>Pass</v>
      </c>
      <c r="O62" s="374"/>
      <c r="P62" s="374"/>
      <c r="Q62" s="334"/>
      <c r="R62" s="331"/>
      <c r="S62" s="331"/>
      <c r="T62" s="334"/>
      <c r="U62" s="161"/>
      <c r="V62" s="428"/>
    </row>
    <row r="63" spans="1:22" ht="13.5" customHeight="1" thickTop="1" x14ac:dyDescent="0.3">
      <c r="A63" s="386"/>
      <c r="B63" s="344"/>
      <c r="C63" s="268"/>
      <c r="D63" s="268"/>
      <c r="E63" s="344"/>
      <c r="F63" s="344"/>
      <c r="G63" s="346"/>
      <c r="H63" s="27" t="s">
        <v>4</v>
      </c>
      <c r="I63" s="159">
        <f t="shared" ref="I63" si="102">A63+J63</f>
        <v>0</v>
      </c>
      <c r="J63" s="238"/>
      <c r="K63" s="300"/>
      <c r="L63" s="251"/>
      <c r="M63" s="289"/>
      <c r="N63" s="79"/>
      <c r="O63" s="335"/>
      <c r="P63" s="375"/>
      <c r="Q63" s="338" t="str">
        <f t="shared" ref="Q63" si="103">IF(OR(ISBLANK(O63)),"",IF(AND(O63&lt;=4, P63&lt;=4),"Pass","Fail"))</f>
        <v/>
      </c>
      <c r="R63" s="341"/>
      <c r="S63" s="341"/>
      <c r="T63" s="338"/>
      <c r="U63" s="144"/>
    </row>
    <row r="64" spans="1:22" ht="13" x14ac:dyDescent="0.3">
      <c r="A64" s="387"/>
      <c r="B64" s="345"/>
      <c r="C64" s="220"/>
      <c r="D64" s="220"/>
      <c r="E64" s="345"/>
      <c r="F64" s="345"/>
      <c r="G64" s="347"/>
      <c r="H64" s="105" t="s">
        <v>5</v>
      </c>
      <c r="I64" s="159">
        <f t="shared" ref="I64" si="104">A63+J64</f>
        <v>0</v>
      </c>
      <c r="J64" s="230"/>
      <c r="K64" s="290"/>
      <c r="L64" s="253"/>
      <c r="M64" s="291"/>
      <c r="N64" s="106" t="str">
        <f t="shared" ref="N64:N65" si="105">IF(OR(K64&gt;=M64, ISBLANK(K64)),"Pass","Fail")</f>
        <v>Pass</v>
      </c>
      <c r="O64" s="336"/>
      <c r="P64" s="376"/>
      <c r="Q64" s="339"/>
      <c r="R64" s="342"/>
      <c r="S64" s="342"/>
      <c r="T64" s="339"/>
      <c r="U64" s="146"/>
    </row>
    <row r="65" spans="1:22" ht="13.5" thickBot="1" x14ac:dyDescent="0.35">
      <c r="A65" s="387"/>
      <c r="B65" s="345"/>
      <c r="C65" s="220"/>
      <c r="D65" s="220"/>
      <c r="E65" s="345"/>
      <c r="F65" s="345"/>
      <c r="G65" s="347"/>
      <c r="H65" s="107" t="s">
        <v>42</v>
      </c>
      <c r="I65" s="59">
        <f t="shared" ref="I65" si="106">A63+J65</f>
        <v>0</v>
      </c>
      <c r="J65" s="234"/>
      <c r="K65" s="301"/>
      <c r="L65" s="247"/>
      <c r="M65" s="292"/>
      <c r="N65" s="109" t="str">
        <f t="shared" si="105"/>
        <v>Pass</v>
      </c>
      <c r="O65" s="337"/>
      <c r="P65" s="377"/>
      <c r="Q65" s="340"/>
      <c r="R65" s="343"/>
      <c r="S65" s="343"/>
      <c r="T65" s="340"/>
      <c r="U65" s="242"/>
    </row>
    <row r="66" spans="1:22" s="96" customFormat="1" ht="13.5" thickTop="1" x14ac:dyDescent="0.3">
      <c r="A66" s="357"/>
      <c r="B66" s="350"/>
      <c r="C66" s="267"/>
      <c r="D66" s="267"/>
      <c r="E66" s="350"/>
      <c r="F66" s="350"/>
      <c r="G66" s="360"/>
      <c r="H66" s="37" t="s">
        <v>4</v>
      </c>
      <c r="I66" s="62">
        <f t="shared" ref="I66" si="107">A66+J66</f>
        <v>0</v>
      </c>
      <c r="J66" s="236"/>
      <c r="K66" s="207"/>
      <c r="L66" s="152"/>
      <c r="M66" s="213"/>
      <c r="N66" s="93"/>
      <c r="O66" s="366"/>
      <c r="P66" s="366"/>
      <c r="Q66" s="332" t="str">
        <f t="shared" ref="Q66" si="108">IF(OR(ISBLANK(O66)),"",IF(AND(O66&lt;=4, P66&lt;=4),"Pass","Fail"))</f>
        <v/>
      </c>
      <c r="R66" s="329"/>
      <c r="S66" s="329"/>
      <c r="T66" s="332"/>
      <c r="U66" s="65"/>
    </row>
    <row r="67" spans="1:22" s="96" customFormat="1" ht="13" x14ac:dyDescent="0.3">
      <c r="A67" s="358"/>
      <c r="B67" s="351"/>
      <c r="C67" s="265"/>
      <c r="D67" s="265"/>
      <c r="E67" s="351"/>
      <c r="F67" s="351"/>
      <c r="G67" s="361"/>
      <c r="H67" s="101" t="s">
        <v>5</v>
      </c>
      <c r="I67" s="122">
        <f t="shared" ref="I67" si="109">A66+J67</f>
        <v>0</v>
      </c>
      <c r="J67" s="225"/>
      <c r="K67" s="198"/>
      <c r="L67" s="173"/>
      <c r="M67" s="214"/>
      <c r="N67" s="93" t="str">
        <f t="shared" ref="N67:N68" si="110">IF(OR(K67&gt;=M67, ISBLANK(K67)),"Pass","Fail")</f>
        <v>Pass</v>
      </c>
      <c r="O67" s="367"/>
      <c r="P67" s="367"/>
      <c r="Q67" s="333"/>
      <c r="R67" s="330"/>
      <c r="S67" s="330"/>
      <c r="T67" s="333"/>
      <c r="U67" s="65"/>
    </row>
    <row r="68" spans="1:22" s="96" customFormat="1" ht="13.5" thickBot="1" x14ac:dyDescent="0.35">
      <c r="A68" s="358"/>
      <c r="B68" s="351"/>
      <c r="C68" s="265"/>
      <c r="D68" s="265"/>
      <c r="E68" s="351"/>
      <c r="F68" s="351"/>
      <c r="G68" s="361"/>
      <c r="H68" s="41" t="s">
        <v>42</v>
      </c>
      <c r="I68" s="122">
        <f t="shared" ref="I68" si="111">A66+J68</f>
        <v>0</v>
      </c>
      <c r="J68" s="237"/>
      <c r="K68" s="198"/>
      <c r="L68" s="278"/>
      <c r="M68" s="205"/>
      <c r="N68" s="81" t="str">
        <f t="shared" si="110"/>
        <v>Pass</v>
      </c>
      <c r="O68" s="368"/>
      <c r="P68" s="368"/>
      <c r="Q68" s="334"/>
      <c r="R68" s="331"/>
      <c r="S68" s="331"/>
      <c r="T68" s="334"/>
      <c r="U68" s="250"/>
    </row>
    <row r="69" spans="1:22" ht="13.5" thickTop="1" x14ac:dyDescent="0.3">
      <c r="A69" s="386"/>
      <c r="B69" s="344"/>
      <c r="C69" s="268"/>
      <c r="D69" s="268"/>
      <c r="E69" s="344"/>
      <c r="F69" s="344"/>
      <c r="G69" s="346"/>
      <c r="H69" s="27" t="s">
        <v>4</v>
      </c>
      <c r="I69" s="159">
        <f t="shared" ref="I69" si="112">A69+J69</f>
        <v>0</v>
      </c>
      <c r="J69" s="238"/>
      <c r="K69" s="300"/>
      <c r="L69" s="253"/>
      <c r="M69" s="289"/>
      <c r="N69" s="79"/>
      <c r="O69" s="335"/>
      <c r="P69" s="335"/>
      <c r="Q69" s="338" t="str">
        <f t="shared" ref="Q69" si="113">IF(OR(ISBLANK(O69)),"",IF(AND(O69&lt;=4, P69&lt;=4),"Pass","Fail"))</f>
        <v/>
      </c>
      <c r="R69" s="341"/>
      <c r="S69" s="341"/>
      <c r="T69" s="338"/>
      <c r="U69" s="249"/>
    </row>
    <row r="70" spans="1:22" ht="15" customHeight="1" x14ac:dyDescent="0.3">
      <c r="A70" s="387"/>
      <c r="B70" s="345"/>
      <c r="C70" s="220"/>
      <c r="D70" s="220"/>
      <c r="E70" s="345"/>
      <c r="F70" s="345"/>
      <c r="G70" s="347"/>
      <c r="H70" s="105" t="s">
        <v>5</v>
      </c>
      <c r="I70" s="159">
        <f t="shared" ref="I70" si="114">A69+J70</f>
        <v>0</v>
      </c>
      <c r="J70" s="230"/>
      <c r="K70" s="290"/>
      <c r="L70" s="253"/>
      <c r="M70" s="291"/>
      <c r="N70" s="106" t="str">
        <f t="shared" ref="N70:N71" si="115">IF(OR(K70&gt;=M70, ISBLANK(K70)),"Pass","Fail")</f>
        <v>Pass</v>
      </c>
      <c r="O70" s="336"/>
      <c r="P70" s="336"/>
      <c r="Q70" s="339"/>
      <c r="R70" s="342"/>
      <c r="S70" s="342"/>
      <c r="T70" s="339"/>
      <c r="U70" s="242"/>
    </row>
    <row r="71" spans="1:22" ht="15" customHeight="1" thickBot="1" x14ac:dyDescent="0.35">
      <c r="A71" s="388"/>
      <c r="B71" s="364"/>
      <c r="C71" s="221"/>
      <c r="D71" s="221"/>
      <c r="E71" s="364"/>
      <c r="F71" s="364"/>
      <c r="G71" s="385"/>
      <c r="H71" s="107" t="s">
        <v>42</v>
      </c>
      <c r="I71" s="59">
        <f t="shared" ref="I71" si="116">A69+J71</f>
        <v>0</v>
      </c>
      <c r="J71" s="234"/>
      <c r="K71" s="301"/>
      <c r="L71" s="247"/>
      <c r="M71" s="292"/>
      <c r="N71" s="109" t="str">
        <f t="shared" si="115"/>
        <v>Pass</v>
      </c>
      <c r="O71" s="337"/>
      <c r="P71" s="337"/>
      <c r="Q71" s="340"/>
      <c r="R71" s="343"/>
      <c r="S71" s="343"/>
      <c r="T71" s="340"/>
      <c r="U71" s="147"/>
    </row>
    <row r="72" spans="1:22" s="96" customFormat="1" ht="13.5" thickTop="1" x14ac:dyDescent="0.3">
      <c r="A72" s="358"/>
      <c r="B72" s="351"/>
      <c r="C72" s="265"/>
      <c r="D72" s="265"/>
      <c r="E72" s="351"/>
      <c r="F72" s="351"/>
      <c r="G72" s="361"/>
      <c r="H72" s="37" t="s">
        <v>4</v>
      </c>
      <c r="I72" s="62">
        <f t="shared" ref="I72" si="117">A72+J72</f>
        <v>0</v>
      </c>
      <c r="J72" s="236"/>
      <c r="K72" s="213"/>
      <c r="L72" s="226"/>
      <c r="M72" s="213"/>
      <c r="N72" s="93"/>
      <c r="O72" s="366"/>
      <c r="P72" s="366"/>
      <c r="Q72" s="332" t="str">
        <f t="shared" ref="Q72" si="118">IF(OR(ISBLANK(O72)),"",IF(AND(O72&lt;=4, P72&lt;=4),"Pass","Fail"))</f>
        <v/>
      </c>
      <c r="R72" s="329"/>
      <c r="S72" s="329"/>
      <c r="T72" s="332"/>
      <c r="U72" s="65"/>
    </row>
    <row r="73" spans="1:22" s="96" customFormat="1" ht="15" customHeight="1" x14ac:dyDescent="0.3">
      <c r="A73" s="358"/>
      <c r="B73" s="351"/>
      <c r="C73" s="265"/>
      <c r="D73" s="265"/>
      <c r="E73" s="351"/>
      <c r="F73" s="351"/>
      <c r="G73" s="361"/>
      <c r="H73" s="101" t="s">
        <v>5</v>
      </c>
      <c r="I73" s="122">
        <f t="shared" ref="I73" si="119">A72+J73</f>
        <v>0</v>
      </c>
      <c r="J73" s="225"/>
      <c r="K73" s="198"/>
      <c r="L73" s="173"/>
      <c r="M73" s="198"/>
      <c r="N73" s="93" t="str">
        <f t="shared" ref="N73:N74" si="120">IF(OR(K73&gt;=M73, ISBLANK(K73)),"Pass","Fail")</f>
        <v>Pass</v>
      </c>
      <c r="O73" s="367"/>
      <c r="P73" s="367"/>
      <c r="Q73" s="333"/>
      <c r="R73" s="330"/>
      <c r="S73" s="330"/>
      <c r="T73" s="333"/>
      <c r="U73" s="161"/>
    </row>
    <row r="74" spans="1:22" s="96" customFormat="1" ht="15" customHeight="1" thickBot="1" x14ac:dyDescent="0.35">
      <c r="A74" s="358"/>
      <c r="B74" s="351"/>
      <c r="C74" s="265"/>
      <c r="D74" s="265"/>
      <c r="E74" s="351"/>
      <c r="F74" s="351"/>
      <c r="G74" s="361"/>
      <c r="H74" s="41" t="s">
        <v>42</v>
      </c>
      <c r="I74" s="122">
        <f t="shared" ref="I74" si="121">A72+J74</f>
        <v>0</v>
      </c>
      <c r="J74" s="237"/>
      <c r="K74" s="205"/>
      <c r="L74" s="68"/>
      <c r="M74" s="208"/>
      <c r="N74" s="81" t="str">
        <f t="shared" si="120"/>
        <v>Pass</v>
      </c>
      <c r="O74" s="368"/>
      <c r="P74" s="368"/>
      <c r="Q74" s="334"/>
      <c r="R74" s="331"/>
      <c r="S74" s="331"/>
      <c r="T74" s="334"/>
      <c r="U74" s="250"/>
    </row>
    <row r="75" spans="1:22" s="96" customFormat="1" ht="13.5" customHeight="1" thickTop="1" x14ac:dyDescent="0.3">
      <c r="A75" s="386"/>
      <c r="B75" s="344"/>
      <c r="C75" s="268"/>
      <c r="D75" s="268"/>
      <c r="E75" s="344"/>
      <c r="F75" s="344"/>
      <c r="G75" s="346"/>
      <c r="H75" s="27" t="s">
        <v>4</v>
      </c>
      <c r="I75" s="159">
        <f t="shared" ref="I75" si="122">A75+J75</f>
        <v>0</v>
      </c>
      <c r="J75" s="238"/>
      <c r="K75" s="293"/>
      <c r="L75" s="251"/>
      <c r="M75" s="303"/>
      <c r="N75" s="79"/>
      <c r="O75" s="335"/>
      <c r="P75" s="335"/>
      <c r="Q75" s="338" t="str">
        <f t="shared" ref="Q75" si="123">IF(OR(ISBLANK(O75)),"",IF(AND(O75&lt;=4, P75&lt;=4),"Pass","Fail"))</f>
        <v/>
      </c>
      <c r="R75" s="341"/>
      <c r="S75" s="341"/>
      <c r="T75" s="338"/>
      <c r="U75" s="252"/>
    </row>
    <row r="76" spans="1:22" s="96" customFormat="1" ht="13" x14ac:dyDescent="0.3">
      <c r="A76" s="387"/>
      <c r="B76" s="345"/>
      <c r="C76" s="220"/>
      <c r="D76" s="220"/>
      <c r="E76" s="345"/>
      <c r="F76" s="345"/>
      <c r="G76" s="347"/>
      <c r="H76" s="105" t="s">
        <v>5</v>
      </c>
      <c r="I76" s="159">
        <f t="shared" ref="I76" si="124">A75+J76</f>
        <v>0</v>
      </c>
      <c r="J76" s="230"/>
      <c r="K76" s="296"/>
      <c r="L76" s="253"/>
      <c r="M76" s="291"/>
      <c r="N76" s="106" t="str">
        <f t="shared" ref="N76:N77" si="125">IF(OR(K76&gt;=M76, ISBLANK(K76)),"Pass","Fail")</f>
        <v>Pass</v>
      </c>
      <c r="O76" s="336"/>
      <c r="P76" s="336"/>
      <c r="Q76" s="339"/>
      <c r="R76" s="342"/>
      <c r="S76" s="342"/>
      <c r="T76" s="339"/>
      <c r="U76" s="248"/>
    </row>
    <row r="77" spans="1:22" s="96" customFormat="1" ht="15.75" customHeight="1" thickBot="1" x14ac:dyDescent="0.35">
      <c r="A77" s="388"/>
      <c r="B77" s="364"/>
      <c r="C77" s="221"/>
      <c r="D77" s="221"/>
      <c r="E77" s="364"/>
      <c r="F77" s="364"/>
      <c r="G77" s="385"/>
      <c r="H77" s="107" t="s">
        <v>42</v>
      </c>
      <c r="I77" s="59">
        <f t="shared" ref="I77" si="126">A75+J77</f>
        <v>0</v>
      </c>
      <c r="J77" s="234"/>
      <c r="K77" s="304"/>
      <c r="L77" s="224"/>
      <c r="M77" s="292"/>
      <c r="N77" s="109" t="str">
        <f t="shared" si="125"/>
        <v>Pass</v>
      </c>
      <c r="O77" s="337"/>
      <c r="P77" s="337"/>
      <c r="Q77" s="340"/>
      <c r="R77" s="343"/>
      <c r="S77" s="343"/>
      <c r="T77" s="340"/>
      <c r="U77" s="254"/>
    </row>
    <row r="78" spans="1:22" ht="15.75" customHeight="1" thickTop="1" x14ac:dyDescent="0.3">
      <c r="A78" s="358"/>
      <c r="B78" s="351"/>
      <c r="C78" s="265"/>
      <c r="D78" s="265"/>
      <c r="E78" s="350"/>
      <c r="F78" s="350"/>
      <c r="G78" s="361"/>
      <c r="H78" s="37" t="s">
        <v>4</v>
      </c>
      <c r="I78" s="62">
        <f t="shared" ref="I78" si="127">A78+J78</f>
        <v>0</v>
      </c>
      <c r="J78" s="236"/>
      <c r="K78" s="214"/>
      <c r="L78" s="277"/>
      <c r="M78" s="214"/>
      <c r="N78" s="93"/>
      <c r="O78" s="366"/>
      <c r="P78" s="366"/>
      <c r="Q78" s="332" t="str">
        <f t="shared" ref="Q78" si="128">IF(OR(ISBLANK(O78)),"",IF(AND(O78&lt;=4, P78&lt;=4),"Pass","Fail"))</f>
        <v/>
      </c>
      <c r="R78" s="329"/>
      <c r="S78" s="329"/>
      <c r="T78" s="332"/>
      <c r="U78" s="40"/>
      <c r="V78" s="96"/>
    </row>
    <row r="79" spans="1:22" ht="13" x14ac:dyDescent="0.3">
      <c r="A79" s="358"/>
      <c r="B79" s="351"/>
      <c r="C79" s="265"/>
      <c r="D79" s="265"/>
      <c r="E79" s="351"/>
      <c r="F79" s="351"/>
      <c r="G79" s="361"/>
      <c r="H79" s="101" t="s">
        <v>5</v>
      </c>
      <c r="I79" s="122">
        <f t="shared" ref="I79" si="129">A78+J79</f>
        <v>0</v>
      </c>
      <c r="J79" s="225"/>
      <c r="K79" s="198"/>
      <c r="L79" s="173"/>
      <c r="M79" s="198"/>
      <c r="N79" s="93" t="str">
        <f t="shared" ref="N79:N80" si="130">IF(OR(K79&gt;=M79, ISBLANK(K79)),"Pass","Fail")</f>
        <v>Pass</v>
      </c>
      <c r="O79" s="367"/>
      <c r="P79" s="367"/>
      <c r="Q79" s="333"/>
      <c r="R79" s="330"/>
      <c r="S79" s="330"/>
      <c r="T79" s="333"/>
      <c r="U79" s="92"/>
    </row>
    <row r="80" spans="1:22" ht="13.5" thickBot="1" x14ac:dyDescent="0.35">
      <c r="A80" s="358"/>
      <c r="B80" s="352"/>
      <c r="C80" s="265"/>
      <c r="D80" s="265"/>
      <c r="E80" s="351"/>
      <c r="F80" s="351"/>
      <c r="G80" s="361"/>
      <c r="H80" s="41" t="s">
        <v>42</v>
      </c>
      <c r="I80" s="122">
        <f t="shared" ref="I80" si="131">A78+J80</f>
        <v>0</v>
      </c>
      <c r="J80" s="237"/>
      <c r="K80" s="199"/>
      <c r="L80" s="68"/>
      <c r="M80" s="208"/>
      <c r="N80" s="81" t="str">
        <f t="shared" si="130"/>
        <v>Pass</v>
      </c>
      <c r="O80" s="368"/>
      <c r="P80" s="368"/>
      <c r="Q80" s="334"/>
      <c r="R80" s="331"/>
      <c r="S80" s="331"/>
      <c r="T80" s="334"/>
      <c r="U80" s="54"/>
    </row>
    <row r="81" spans="1:21" ht="15.75" customHeight="1" thickTop="1" x14ac:dyDescent="0.3">
      <c r="A81" s="386"/>
      <c r="B81" s="344"/>
      <c r="C81" s="268"/>
      <c r="D81" s="268"/>
      <c r="E81" s="344"/>
      <c r="F81" s="344"/>
      <c r="G81" s="344"/>
      <c r="H81" s="27" t="s">
        <v>4</v>
      </c>
      <c r="I81" s="159">
        <f t="shared" ref="I81" si="132">A81+J81</f>
        <v>0</v>
      </c>
      <c r="J81" s="238"/>
      <c r="K81" s="305"/>
      <c r="L81" s="251"/>
      <c r="M81" s="305"/>
      <c r="N81" s="79"/>
      <c r="O81" s="335"/>
      <c r="P81" s="335"/>
      <c r="Q81" s="338" t="str">
        <f t="shared" ref="Q81" si="133">IF(OR(ISBLANK(O81)),"",IF(AND(O81&lt;=4, P81&lt;=4),"Pass","Fail"))</f>
        <v/>
      </c>
      <c r="R81" s="341"/>
      <c r="S81" s="341"/>
      <c r="T81" s="338"/>
      <c r="U81" s="249"/>
    </row>
    <row r="82" spans="1:21" ht="15" customHeight="1" x14ac:dyDescent="0.3">
      <c r="A82" s="387"/>
      <c r="B82" s="345"/>
      <c r="C82" s="220"/>
      <c r="D82" s="220"/>
      <c r="E82" s="345"/>
      <c r="F82" s="345"/>
      <c r="G82" s="345"/>
      <c r="H82" s="105" t="s">
        <v>5</v>
      </c>
      <c r="I82" s="159">
        <f t="shared" ref="I82" si="134">A81+J82</f>
        <v>0</v>
      </c>
      <c r="J82" s="230"/>
      <c r="K82" s="296"/>
      <c r="L82" s="253"/>
      <c r="M82" s="296"/>
      <c r="N82" s="106" t="str">
        <f t="shared" ref="N82:N83" si="135">IF(OR(K82&gt;=M82, ISBLANK(K82)),"Pass","Fail")</f>
        <v>Pass</v>
      </c>
      <c r="O82" s="336"/>
      <c r="P82" s="336"/>
      <c r="Q82" s="339"/>
      <c r="R82" s="342"/>
      <c r="S82" s="342"/>
      <c r="T82" s="339"/>
      <c r="U82" s="242"/>
    </row>
    <row r="83" spans="1:21" ht="15.75" customHeight="1" thickBot="1" x14ac:dyDescent="0.35">
      <c r="A83" s="388"/>
      <c r="B83" s="364"/>
      <c r="C83" s="221"/>
      <c r="D83" s="221"/>
      <c r="E83" s="364"/>
      <c r="F83" s="364"/>
      <c r="G83" s="364"/>
      <c r="H83" s="107" t="s">
        <v>42</v>
      </c>
      <c r="I83" s="59">
        <f t="shared" ref="I83" si="136">A81+J83</f>
        <v>0</v>
      </c>
      <c r="J83" s="256"/>
      <c r="K83" s="304"/>
      <c r="L83" s="224"/>
      <c r="M83" s="304"/>
      <c r="N83" s="109" t="str">
        <f t="shared" si="135"/>
        <v>Pass</v>
      </c>
      <c r="O83" s="337"/>
      <c r="P83" s="337"/>
      <c r="Q83" s="340"/>
      <c r="R83" s="343"/>
      <c r="S83" s="343"/>
      <c r="T83" s="340"/>
      <c r="U83" s="257"/>
    </row>
    <row r="84" spans="1:21" ht="15.75" customHeight="1" thickTop="1" x14ac:dyDescent="0.3">
      <c r="A84" s="357"/>
      <c r="B84" s="350"/>
      <c r="C84" s="265"/>
      <c r="D84" s="265"/>
      <c r="E84" s="433"/>
      <c r="F84" s="413"/>
      <c r="G84" s="350"/>
      <c r="H84" s="37" t="s">
        <v>4</v>
      </c>
      <c r="I84" s="62">
        <f t="shared" ref="I84" si="137">A84+J84</f>
        <v>0</v>
      </c>
      <c r="J84" s="185"/>
      <c r="K84" s="207"/>
      <c r="L84" s="152"/>
      <c r="M84" s="207"/>
      <c r="N84" s="93"/>
      <c r="O84" s="366"/>
      <c r="P84" s="366"/>
      <c r="Q84" s="332" t="str">
        <f t="shared" ref="Q84" si="138">IF(OR(ISBLANK(O84)),"",IF(AND(O84&lt;=4, P84&lt;=4),"Pass","Fail"))</f>
        <v/>
      </c>
      <c r="R84" s="329"/>
      <c r="S84" s="329"/>
      <c r="T84" s="332"/>
      <c r="U84" s="49"/>
    </row>
    <row r="85" spans="1:21" ht="15" customHeight="1" x14ac:dyDescent="0.3">
      <c r="A85" s="358"/>
      <c r="B85" s="351"/>
      <c r="C85" s="265"/>
      <c r="D85" s="265"/>
      <c r="E85" s="434"/>
      <c r="F85" s="351"/>
      <c r="G85" s="351"/>
      <c r="H85" s="101" t="s">
        <v>5</v>
      </c>
      <c r="I85" s="122">
        <f t="shared" ref="I85" si="139">A84+J85</f>
        <v>0</v>
      </c>
      <c r="J85" s="186"/>
      <c r="K85" s="198"/>
      <c r="L85" s="173"/>
      <c r="M85" s="198"/>
      <c r="N85" s="93" t="str">
        <f t="shared" ref="N85:N86" si="140">IF(OR(K85&gt;=M85, ISBLANK(K85)),"Pass","Fail")</f>
        <v>Pass</v>
      </c>
      <c r="O85" s="367"/>
      <c r="P85" s="367"/>
      <c r="Q85" s="333"/>
      <c r="R85" s="330"/>
      <c r="S85" s="330"/>
      <c r="T85" s="333"/>
      <c r="U85" s="92"/>
    </row>
    <row r="86" spans="1:21" ht="15.75" customHeight="1" thickBot="1" x14ac:dyDescent="0.35">
      <c r="A86" s="359"/>
      <c r="B86" s="352"/>
      <c r="C86" s="266"/>
      <c r="D86" s="266"/>
      <c r="E86" s="414"/>
      <c r="F86" s="414"/>
      <c r="G86" s="352"/>
      <c r="H86" s="41" t="s">
        <v>42</v>
      </c>
      <c r="I86" s="122">
        <f t="shared" ref="I86" si="141">A84+J86</f>
        <v>0</v>
      </c>
      <c r="J86" s="187"/>
      <c r="K86" s="205"/>
      <c r="L86" s="278"/>
      <c r="M86" s="205"/>
      <c r="N86" s="81" t="str">
        <f t="shared" si="140"/>
        <v>Pass</v>
      </c>
      <c r="O86" s="368"/>
      <c r="P86" s="368"/>
      <c r="Q86" s="334"/>
      <c r="R86" s="331"/>
      <c r="S86" s="331"/>
      <c r="T86" s="334"/>
      <c r="U86" s="54"/>
    </row>
    <row r="87" spans="1:21" ht="15.75" customHeight="1" thickTop="1" x14ac:dyDescent="0.3">
      <c r="A87" s="386"/>
      <c r="B87" s="344"/>
      <c r="C87" s="220"/>
      <c r="D87" s="220"/>
      <c r="E87" s="345"/>
      <c r="F87" s="344"/>
      <c r="G87" s="344"/>
      <c r="H87" s="27" t="s">
        <v>4</v>
      </c>
      <c r="I87" s="159">
        <f t="shared" ref="I87" si="142">A87+J87</f>
        <v>0</v>
      </c>
      <c r="J87" s="238"/>
      <c r="K87" s="293"/>
      <c r="L87" s="251"/>
      <c r="M87" s="305"/>
      <c r="N87" s="79"/>
      <c r="O87" s="335"/>
      <c r="P87" s="335"/>
      <c r="Q87" s="338" t="str">
        <f t="shared" ref="Q87" si="143">IF(OR(ISBLANK(O87)),"",IF(AND(O87&lt;=4, P87&lt;=4),"Pass","Fail"))</f>
        <v/>
      </c>
      <c r="R87" s="341"/>
      <c r="S87" s="341"/>
      <c r="T87" s="338"/>
      <c r="U87" s="249"/>
    </row>
    <row r="88" spans="1:21" ht="15" customHeight="1" x14ac:dyDescent="0.3">
      <c r="A88" s="387"/>
      <c r="B88" s="345"/>
      <c r="C88" s="220"/>
      <c r="D88" s="220"/>
      <c r="E88" s="345"/>
      <c r="F88" s="345"/>
      <c r="G88" s="345"/>
      <c r="H88" s="105" t="s">
        <v>5</v>
      </c>
      <c r="I88" s="159">
        <f t="shared" ref="I88" si="144">A87+J88</f>
        <v>0</v>
      </c>
      <c r="J88" s="230"/>
      <c r="K88" s="296"/>
      <c r="L88" s="253"/>
      <c r="M88" s="296"/>
      <c r="N88" s="106" t="str">
        <f t="shared" ref="N88:N89" si="145">IF(OR(K88&gt;=M88, ISBLANK(K88)),"Pass","Fail")</f>
        <v>Pass</v>
      </c>
      <c r="O88" s="336"/>
      <c r="P88" s="336"/>
      <c r="Q88" s="339"/>
      <c r="R88" s="342"/>
      <c r="S88" s="342"/>
      <c r="T88" s="339"/>
      <c r="U88" s="242"/>
    </row>
    <row r="89" spans="1:21" ht="15.75" customHeight="1" thickBot="1" x14ac:dyDescent="0.35">
      <c r="A89" s="388"/>
      <c r="B89" s="364"/>
      <c r="C89" s="221"/>
      <c r="D89" s="221"/>
      <c r="E89" s="364"/>
      <c r="F89" s="364"/>
      <c r="G89" s="364"/>
      <c r="H89" s="107" t="s">
        <v>42</v>
      </c>
      <c r="I89" s="59">
        <f t="shared" ref="I89" si="146">A87+J89</f>
        <v>0</v>
      </c>
      <c r="J89" s="234"/>
      <c r="K89" s="301"/>
      <c r="L89" s="247"/>
      <c r="M89" s="301"/>
      <c r="N89" s="109" t="str">
        <f t="shared" si="145"/>
        <v>Pass</v>
      </c>
      <c r="O89" s="337"/>
      <c r="P89" s="337"/>
      <c r="Q89" s="340"/>
      <c r="R89" s="343"/>
      <c r="S89" s="343"/>
      <c r="T89" s="340"/>
      <c r="U89" s="147"/>
    </row>
    <row r="90" spans="1:21" ht="15.75" customHeight="1" thickTop="1" x14ac:dyDescent="0.3">
      <c r="A90" s="357"/>
      <c r="B90" s="350"/>
      <c r="C90" s="267"/>
      <c r="D90" s="267"/>
      <c r="E90" s="350"/>
      <c r="F90" s="413"/>
      <c r="G90" s="360"/>
      <c r="H90" s="37" t="s">
        <v>4</v>
      </c>
      <c r="I90" s="62">
        <f t="shared" ref="I90" si="147">A90+J90</f>
        <v>0</v>
      </c>
      <c r="J90" s="37"/>
      <c r="K90" s="213"/>
      <c r="L90" s="226"/>
      <c r="M90" s="213"/>
      <c r="N90" s="93"/>
      <c r="O90" s="366"/>
      <c r="P90" s="366"/>
      <c r="Q90" s="332" t="str">
        <f t="shared" ref="Q90" si="148">IF(OR(ISBLANK(O90)),"",IF(AND(O90&lt;=4, P90&lt;=4),"Pass","Fail"))</f>
        <v/>
      </c>
      <c r="R90" s="329"/>
      <c r="S90" s="329"/>
      <c r="T90" s="332"/>
      <c r="U90" s="40"/>
    </row>
    <row r="91" spans="1:21" ht="15.75" customHeight="1" x14ac:dyDescent="0.3">
      <c r="A91" s="358"/>
      <c r="B91" s="351"/>
      <c r="C91" s="265"/>
      <c r="D91" s="265"/>
      <c r="E91" s="351"/>
      <c r="F91" s="351"/>
      <c r="G91" s="361"/>
      <c r="H91" s="101" t="s">
        <v>5</v>
      </c>
      <c r="I91" s="122">
        <f t="shared" ref="I91" si="149">A90+J91</f>
        <v>0</v>
      </c>
      <c r="J91" s="90"/>
      <c r="K91" s="198"/>
      <c r="L91" s="173"/>
      <c r="M91" s="198"/>
      <c r="N91" s="93" t="str">
        <f t="shared" ref="N91:N92" si="150">IF(OR(K91&gt;=M91, ISBLANK(K91)),"Pass","Fail")</f>
        <v>Pass</v>
      </c>
      <c r="O91" s="367"/>
      <c r="P91" s="367"/>
      <c r="Q91" s="333"/>
      <c r="R91" s="330"/>
      <c r="S91" s="330"/>
      <c r="T91" s="333"/>
      <c r="U91" s="92"/>
    </row>
    <row r="92" spans="1:21" ht="15.75" customHeight="1" thickBot="1" x14ac:dyDescent="0.35">
      <c r="A92" s="359"/>
      <c r="B92" s="352"/>
      <c r="C92" s="266"/>
      <c r="D92" s="266"/>
      <c r="E92" s="352"/>
      <c r="F92" s="414"/>
      <c r="G92" s="362"/>
      <c r="H92" s="41" t="s">
        <v>42</v>
      </c>
      <c r="I92" s="122">
        <f t="shared" ref="I92" si="151">A90+J92</f>
        <v>0</v>
      </c>
      <c r="J92" s="41"/>
      <c r="K92" s="208"/>
      <c r="L92" s="68"/>
      <c r="M92" s="208"/>
      <c r="N92" s="81" t="str">
        <f t="shared" si="150"/>
        <v>Pass</v>
      </c>
      <c r="O92" s="368"/>
      <c r="P92" s="368"/>
      <c r="Q92" s="334"/>
      <c r="R92" s="331"/>
      <c r="S92" s="331"/>
      <c r="T92" s="334"/>
      <c r="U92" s="44"/>
    </row>
    <row r="93" spans="1:21" ht="15.75" customHeight="1" thickTop="1" x14ac:dyDescent="0.3">
      <c r="A93" s="386"/>
      <c r="B93" s="344"/>
      <c r="C93" s="268"/>
      <c r="D93" s="268"/>
      <c r="E93" s="344"/>
      <c r="F93" s="344"/>
      <c r="G93" s="346"/>
      <c r="H93" s="27" t="s">
        <v>4</v>
      </c>
      <c r="I93" s="159">
        <f t="shared" ref="I93" si="152">A93+J93</f>
        <v>0</v>
      </c>
      <c r="J93" s="238"/>
      <c r="K93" s="305"/>
      <c r="L93" s="305"/>
      <c r="M93" s="305"/>
      <c r="N93" s="79"/>
      <c r="O93" s="335"/>
      <c r="P93" s="335"/>
      <c r="Q93" s="338" t="str">
        <f t="shared" ref="Q93" si="153">IF(OR(ISBLANK(O93)),"",IF(AND(O93&lt;=4, P93&lt;=4),"Pass","Fail"))</f>
        <v/>
      </c>
      <c r="R93" s="341"/>
      <c r="S93" s="341"/>
      <c r="T93" s="338"/>
      <c r="U93" s="249"/>
    </row>
    <row r="94" spans="1:21" ht="15.75" customHeight="1" x14ac:dyDescent="0.3">
      <c r="A94" s="387"/>
      <c r="B94" s="345"/>
      <c r="C94" s="220"/>
      <c r="D94" s="220"/>
      <c r="E94" s="345"/>
      <c r="F94" s="345"/>
      <c r="G94" s="347"/>
      <c r="H94" s="105" t="s">
        <v>5</v>
      </c>
      <c r="I94" s="159">
        <f t="shared" ref="I94" si="154">A93+J94</f>
        <v>0</v>
      </c>
      <c r="J94" s="230"/>
      <c r="K94" s="296"/>
      <c r="L94" s="296"/>
      <c r="M94" s="296"/>
      <c r="N94" s="106" t="str">
        <f t="shared" ref="N94:N95" si="155">IF(OR(K94&gt;=M94, ISBLANK(K94)),"Pass","Fail")</f>
        <v>Pass</v>
      </c>
      <c r="O94" s="336"/>
      <c r="P94" s="336"/>
      <c r="Q94" s="339"/>
      <c r="R94" s="342"/>
      <c r="S94" s="342"/>
      <c r="T94" s="339"/>
      <c r="U94" s="242"/>
    </row>
    <row r="95" spans="1:21" ht="15.75" customHeight="1" thickBot="1" x14ac:dyDescent="0.35">
      <c r="A95" s="388"/>
      <c r="B95" s="364"/>
      <c r="C95" s="221"/>
      <c r="D95" s="221"/>
      <c r="E95" s="364"/>
      <c r="F95" s="364"/>
      <c r="G95" s="385"/>
      <c r="H95" s="107" t="s">
        <v>42</v>
      </c>
      <c r="I95" s="59">
        <f t="shared" ref="I95" si="156">A93+J95</f>
        <v>0</v>
      </c>
      <c r="J95" s="234"/>
      <c r="K95" s="301"/>
      <c r="L95" s="301"/>
      <c r="M95" s="301"/>
      <c r="N95" s="109" t="str">
        <f t="shared" si="155"/>
        <v>Pass</v>
      </c>
      <c r="O95" s="337"/>
      <c r="P95" s="337"/>
      <c r="Q95" s="340"/>
      <c r="R95" s="343"/>
      <c r="S95" s="343"/>
      <c r="T95" s="340"/>
      <c r="U95" s="147"/>
    </row>
    <row r="96" spans="1:21" ht="13.5" thickTop="1" x14ac:dyDescent="0.3">
      <c r="A96" s="358"/>
      <c r="B96" s="350"/>
      <c r="C96" s="267"/>
      <c r="D96" s="267"/>
      <c r="E96" s="350"/>
      <c r="F96" s="350"/>
      <c r="G96" s="361"/>
      <c r="H96" s="37" t="s">
        <v>4</v>
      </c>
      <c r="I96" s="62">
        <f t="shared" ref="I96" si="157">A96+J96</f>
        <v>0</v>
      </c>
      <c r="J96" s="37"/>
      <c r="K96" s="213"/>
      <c r="L96" s="213"/>
      <c r="M96" s="213"/>
      <c r="N96" s="93"/>
      <c r="O96" s="366"/>
      <c r="P96" s="366"/>
      <c r="Q96" s="332" t="str">
        <f t="shared" ref="Q96" si="158">IF(OR(ISBLANK(O96)),"",IF(AND(O96&lt;=4, P96&lt;=4),"Pass","Fail"))</f>
        <v/>
      </c>
      <c r="R96" s="329"/>
      <c r="S96" s="329"/>
      <c r="T96" s="332"/>
      <c r="U96" s="40"/>
    </row>
    <row r="97" spans="1:22" ht="13" x14ac:dyDescent="0.3">
      <c r="A97" s="358"/>
      <c r="B97" s="351"/>
      <c r="C97" s="265"/>
      <c r="D97" s="265"/>
      <c r="E97" s="351"/>
      <c r="F97" s="351"/>
      <c r="G97" s="361"/>
      <c r="H97" s="101" t="s">
        <v>5</v>
      </c>
      <c r="I97" s="122">
        <f t="shared" ref="I97" si="159">A96+J97</f>
        <v>0</v>
      </c>
      <c r="J97" s="90"/>
      <c r="K97" s="198"/>
      <c r="L97" s="198"/>
      <c r="M97" s="198"/>
      <c r="N97" s="93" t="str">
        <f t="shared" ref="N97:N98" si="160">IF(OR(K97&gt;=M97, ISBLANK(K97)),"Pass","Fail")</f>
        <v>Pass</v>
      </c>
      <c r="O97" s="367"/>
      <c r="P97" s="367"/>
      <c r="Q97" s="333"/>
      <c r="R97" s="330"/>
      <c r="S97" s="330"/>
      <c r="T97" s="333"/>
      <c r="U97" s="92"/>
    </row>
    <row r="98" spans="1:22" ht="13.5" thickBot="1" x14ac:dyDescent="0.35">
      <c r="A98" s="358"/>
      <c r="B98" s="352"/>
      <c r="C98" s="266"/>
      <c r="D98" s="266"/>
      <c r="E98" s="352"/>
      <c r="F98" s="352"/>
      <c r="G98" s="361"/>
      <c r="H98" s="41" t="s">
        <v>42</v>
      </c>
      <c r="I98" s="122">
        <f t="shared" ref="I98" si="161">A96+J98</f>
        <v>0</v>
      </c>
      <c r="J98" s="41"/>
      <c r="K98" s="208"/>
      <c r="L98" s="208"/>
      <c r="M98" s="208"/>
      <c r="N98" s="81" t="str">
        <f t="shared" si="160"/>
        <v>Pass</v>
      </c>
      <c r="O98" s="368"/>
      <c r="P98" s="368"/>
      <c r="Q98" s="334"/>
      <c r="R98" s="331"/>
      <c r="S98" s="331"/>
      <c r="T98" s="334"/>
      <c r="U98" s="44"/>
    </row>
    <row r="99" spans="1:22" ht="15.75" customHeight="1" thickTop="1" x14ac:dyDescent="0.3">
      <c r="A99" s="386"/>
      <c r="B99" s="344"/>
      <c r="C99" s="220"/>
      <c r="D99" s="220"/>
      <c r="E99" s="345"/>
      <c r="F99" s="345"/>
      <c r="G99" s="346"/>
      <c r="H99" s="27" t="s">
        <v>4</v>
      </c>
      <c r="I99" s="159">
        <f t="shared" ref="I99" si="162">A99+J99</f>
        <v>0</v>
      </c>
      <c r="J99" s="238"/>
      <c r="K99" s="305"/>
      <c r="L99" s="305"/>
      <c r="M99" s="305"/>
      <c r="N99" s="79"/>
      <c r="O99" s="335"/>
      <c r="P99" s="335"/>
      <c r="Q99" s="338" t="str">
        <f t="shared" ref="Q99" si="163">IF(OR(ISBLANK(O99)),"",IF(AND(O99&lt;=4, P99&lt;=4),"Pass","Fail"))</f>
        <v/>
      </c>
      <c r="R99" s="341"/>
      <c r="S99" s="341"/>
      <c r="T99" s="338"/>
      <c r="U99" s="249"/>
    </row>
    <row r="100" spans="1:22" ht="15.75" customHeight="1" x14ac:dyDescent="0.3">
      <c r="A100" s="387"/>
      <c r="B100" s="345"/>
      <c r="C100" s="220"/>
      <c r="D100" s="220"/>
      <c r="E100" s="345"/>
      <c r="F100" s="345"/>
      <c r="G100" s="347"/>
      <c r="H100" s="105" t="s">
        <v>5</v>
      </c>
      <c r="I100" s="159">
        <f t="shared" ref="I100" si="164">A99+J100</f>
        <v>0</v>
      </c>
      <c r="J100" s="230"/>
      <c r="K100" s="296"/>
      <c r="L100" s="296"/>
      <c r="M100" s="296"/>
      <c r="N100" s="106" t="str">
        <f t="shared" ref="N100:N101" si="165">IF(OR(K100&gt;=M100, ISBLANK(K100)),"Pass","Fail")</f>
        <v>Pass</v>
      </c>
      <c r="O100" s="336"/>
      <c r="P100" s="336"/>
      <c r="Q100" s="339"/>
      <c r="R100" s="342"/>
      <c r="S100" s="342"/>
      <c r="T100" s="339"/>
      <c r="U100" s="242"/>
    </row>
    <row r="101" spans="1:22" ht="15.75" customHeight="1" thickBot="1" x14ac:dyDescent="0.35">
      <c r="A101" s="388"/>
      <c r="B101" s="364"/>
      <c r="C101" s="220"/>
      <c r="D101" s="220"/>
      <c r="E101" s="345"/>
      <c r="F101" s="345"/>
      <c r="G101" s="385"/>
      <c r="H101" s="107" t="s">
        <v>42</v>
      </c>
      <c r="I101" s="59">
        <f t="shared" ref="I101" si="166">A99+J101</f>
        <v>0</v>
      </c>
      <c r="J101" s="234"/>
      <c r="K101" s="301"/>
      <c r="L101" s="301"/>
      <c r="M101" s="301"/>
      <c r="N101" s="109" t="str">
        <f t="shared" si="165"/>
        <v>Pass</v>
      </c>
      <c r="O101" s="337"/>
      <c r="P101" s="337"/>
      <c r="Q101" s="340"/>
      <c r="R101" s="343"/>
      <c r="S101" s="343"/>
      <c r="T101" s="340"/>
      <c r="U101" s="147"/>
    </row>
    <row r="102" spans="1:22" ht="13.5" thickTop="1" x14ac:dyDescent="0.3">
      <c r="A102" s="358"/>
      <c r="B102" s="413"/>
      <c r="C102" s="413"/>
      <c r="D102" s="413"/>
      <c r="E102" s="413"/>
      <c r="F102" s="413"/>
      <c r="G102" s="415"/>
      <c r="H102" s="37" t="s">
        <v>4</v>
      </c>
      <c r="I102" s="62">
        <f t="shared" ref="I102" si="167">A102+J102</f>
        <v>0</v>
      </c>
      <c r="J102" s="37"/>
      <c r="K102" s="213"/>
      <c r="L102" s="213"/>
      <c r="M102" s="213"/>
      <c r="N102" s="93"/>
      <c r="O102" s="366"/>
      <c r="P102" s="366"/>
      <c r="Q102" s="332" t="str">
        <f t="shared" ref="Q102" si="168">IF(OR(ISBLANK(O102)),"",IF(AND(O102&lt;=4, P102&lt;=4),"Pass","Fail"))</f>
        <v/>
      </c>
      <c r="R102" s="329"/>
      <c r="S102" s="329"/>
      <c r="T102" s="332"/>
      <c r="U102" s="37"/>
    </row>
    <row r="103" spans="1:22" ht="13" x14ac:dyDescent="0.3">
      <c r="A103" s="358"/>
      <c r="B103" s="351"/>
      <c r="C103" s="351"/>
      <c r="D103" s="351"/>
      <c r="E103" s="351"/>
      <c r="F103" s="351"/>
      <c r="G103" s="361"/>
      <c r="H103" s="101" t="s">
        <v>5</v>
      </c>
      <c r="I103" s="122">
        <f t="shared" ref="I103" si="169">A102+J103</f>
        <v>0</v>
      </c>
      <c r="J103" s="90"/>
      <c r="K103" s="198"/>
      <c r="L103" s="198"/>
      <c r="M103" s="198"/>
      <c r="N103" s="93" t="str">
        <f t="shared" ref="N103:N104" si="170">IF(OR(K103&gt;=M103, ISBLANK(K103)),"Pass","Fail")</f>
        <v>Pass</v>
      </c>
      <c r="O103" s="367"/>
      <c r="P103" s="367"/>
      <c r="Q103" s="333"/>
      <c r="R103" s="330"/>
      <c r="S103" s="330"/>
      <c r="T103" s="333"/>
      <c r="U103" s="90"/>
    </row>
    <row r="104" spans="1:22" ht="13.5" thickBot="1" x14ac:dyDescent="0.35">
      <c r="A104" s="359"/>
      <c r="B104" s="414"/>
      <c r="C104" s="414"/>
      <c r="D104" s="414"/>
      <c r="E104" s="414"/>
      <c r="F104" s="414"/>
      <c r="G104" s="416"/>
      <c r="H104" s="41" t="s">
        <v>42</v>
      </c>
      <c r="I104" s="122">
        <f t="shared" ref="I104" si="171">A102+J104</f>
        <v>0</v>
      </c>
      <c r="J104" s="50"/>
      <c r="K104" s="205"/>
      <c r="L104" s="205"/>
      <c r="M104" s="205"/>
      <c r="N104" s="81" t="str">
        <f t="shared" si="170"/>
        <v>Pass</v>
      </c>
      <c r="O104" s="368"/>
      <c r="P104" s="368"/>
      <c r="Q104" s="334"/>
      <c r="R104" s="331"/>
      <c r="S104" s="331"/>
      <c r="T104" s="334"/>
      <c r="U104" s="50"/>
    </row>
    <row r="105" spans="1:22" ht="13.5" thickTop="1" x14ac:dyDescent="0.3">
      <c r="A105" s="353"/>
      <c r="B105" s="424"/>
      <c r="C105" s="424"/>
      <c r="D105" s="424"/>
      <c r="E105" s="424"/>
      <c r="F105" s="424"/>
      <c r="G105" s="430"/>
      <c r="H105" s="27" t="s">
        <v>4</v>
      </c>
      <c r="I105" s="159">
        <f t="shared" ref="I105" si="172">A105+J105</f>
        <v>0</v>
      </c>
      <c r="J105" s="9"/>
      <c r="K105" s="211"/>
      <c r="L105" s="211"/>
      <c r="M105" s="211"/>
      <c r="N105" s="79"/>
      <c r="O105" s="335"/>
      <c r="P105" s="335"/>
      <c r="Q105" s="338" t="str">
        <f t="shared" ref="Q105" si="173">IF(OR(ISBLANK(O105)),"",IF(AND(O105&lt;=4, P105&lt;=4),"Pass","Fail"))</f>
        <v/>
      </c>
      <c r="R105" s="341"/>
      <c r="S105" s="341"/>
      <c r="T105" s="382"/>
      <c r="U105" s="9"/>
    </row>
    <row r="106" spans="1:22" ht="13" x14ac:dyDescent="0.3">
      <c r="A106" s="353"/>
      <c r="B106" s="355"/>
      <c r="C106" s="355"/>
      <c r="D106" s="355"/>
      <c r="E106" s="355"/>
      <c r="F106" s="355"/>
      <c r="G106" s="431"/>
      <c r="H106" s="105" t="s">
        <v>5</v>
      </c>
      <c r="I106" s="159">
        <f t="shared" ref="I106" si="174">A105+J106</f>
        <v>0</v>
      </c>
      <c r="J106" s="27"/>
      <c r="K106" s="195"/>
      <c r="L106" s="210"/>
      <c r="M106" s="210"/>
      <c r="N106" s="106" t="str">
        <f t="shared" ref="N106:N107" si="175">IF(OR(K106&gt;=M106, ISBLANK(K106)),"Pass","Fail")</f>
        <v>Pass</v>
      </c>
      <c r="O106" s="336"/>
      <c r="P106" s="336"/>
      <c r="Q106" s="339"/>
      <c r="R106" s="342"/>
      <c r="S106" s="342"/>
      <c r="T106" s="383"/>
      <c r="U106" s="27"/>
    </row>
    <row r="107" spans="1:22" ht="13.5" thickBot="1" x14ac:dyDescent="0.35">
      <c r="A107" s="354"/>
      <c r="B107" s="420"/>
      <c r="C107" s="420"/>
      <c r="D107" s="420"/>
      <c r="E107" s="420"/>
      <c r="F107" s="420"/>
      <c r="G107" s="432"/>
      <c r="H107" s="107" t="s">
        <v>42</v>
      </c>
      <c r="I107" s="59">
        <f t="shared" ref="I107" si="176">A105+J107</f>
        <v>0</v>
      </c>
      <c r="J107" s="15"/>
      <c r="K107" s="196"/>
      <c r="L107" s="212"/>
      <c r="M107" s="212"/>
      <c r="N107" s="109" t="str">
        <f t="shared" si="175"/>
        <v>Pass</v>
      </c>
      <c r="O107" s="337"/>
      <c r="P107" s="337"/>
      <c r="Q107" s="340"/>
      <c r="R107" s="343"/>
      <c r="S107" s="343"/>
      <c r="T107" s="384"/>
      <c r="U107" s="12"/>
    </row>
    <row r="108" spans="1:22" ht="15.75" customHeight="1" thickTop="1" x14ac:dyDescent="0.3">
      <c r="A108" s="357"/>
      <c r="B108" s="350"/>
      <c r="C108" s="267"/>
      <c r="D108" s="267"/>
      <c r="E108" s="350"/>
      <c r="F108" s="350"/>
      <c r="G108" s="360"/>
      <c r="H108" s="37" t="s">
        <v>4</v>
      </c>
      <c r="I108" s="62">
        <f t="shared" ref="I108" si="177">A108+J108</f>
        <v>0</v>
      </c>
      <c r="J108" s="185"/>
      <c r="K108" s="207"/>
      <c r="L108" s="207"/>
      <c r="M108" s="207"/>
      <c r="N108" s="93"/>
      <c r="O108" s="329"/>
      <c r="P108" s="329"/>
      <c r="Q108" s="332" t="str">
        <f t="shared" ref="Q108" si="178">IF(OR(ISBLANK(O108)),"",IF(AND(O108&lt;=4, P108&lt;=4),"Pass","Fail"))</f>
        <v/>
      </c>
      <c r="R108" s="329"/>
      <c r="S108" s="329"/>
      <c r="T108" s="332"/>
      <c r="U108" s="49"/>
      <c r="V108" s="365"/>
    </row>
    <row r="109" spans="1:22" ht="15.75" customHeight="1" x14ac:dyDescent="0.3">
      <c r="A109" s="358"/>
      <c r="B109" s="351"/>
      <c r="C109" s="265"/>
      <c r="D109" s="265"/>
      <c r="E109" s="351"/>
      <c r="F109" s="351"/>
      <c r="G109" s="361"/>
      <c r="H109" s="101" t="s">
        <v>5</v>
      </c>
      <c r="I109" s="122">
        <f t="shared" ref="I109" si="179">A108+J109</f>
        <v>0</v>
      </c>
      <c r="J109" s="186"/>
      <c r="K109" s="198"/>
      <c r="L109" s="198"/>
      <c r="M109" s="198"/>
      <c r="N109" s="93" t="str">
        <f t="shared" ref="N109:N110" si="180">IF(OR(K109&gt;=M109, ISBLANK(K109)),"Pass","Fail")</f>
        <v>Pass</v>
      </c>
      <c r="O109" s="330"/>
      <c r="P109" s="330"/>
      <c r="Q109" s="333"/>
      <c r="R109" s="330"/>
      <c r="S109" s="330"/>
      <c r="T109" s="333"/>
      <c r="U109" s="92"/>
      <c r="V109" s="365"/>
    </row>
    <row r="110" spans="1:22" ht="15.75" customHeight="1" thickBot="1" x14ac:dyDescent="0.35">
      <c r="A110" s="359"/>
      <c r="B110" s="352"/>
      <c r="C110" s="266"/>
      <c r="D110" s="266"/>
      <c r="E110" s="352"/>
      <c r="F110" s="352"/>
      <c r="G110" s="362"/>
      <c r="H110" s="41" t="s">
        <v>42</v>
      </c>
      <c r="I110" s="122">
        <f t="shared" ref="I110" si="181">A108+J110</f>
        <v>0</v>
      </c>
      <c r="J110" s="187"/>
      <c r="K110" s="205"/>
      <c r="L110" s="205"/>
      <c r="M110" s="205"/>
      <c r="N110" s="81" t="str">
        <f t="shared" si="180"/>
        <v>Pass</v>
      </c>
      <c r="O110" s="331"/>
      <c r="P110" s="331"/>
      <c r="Q110" s="334"/>
      <c r="R110" s="331"/>
      <c r="S110" s="331"/>
      <c r="T110" s="334"/>
      <c r="U110" s="54"/>
      <c r="V110" s="365"/>
    </row>
    <row r="111" spans="1:22" ht="13.5" thickTop="1" x14ac:dyDescent="0.3">
      <c r="A111" s="363"/>
      <c r="B111" s="417"/>
      <c r="C111" s="417"/>
      <c r="D111" s="417"/>
      <c r="E111" s="417"/>
      <c r="F111" s="417"/>
      <c r="G111" s="418"/>
      <c r="H111" s="27" t="s">
        <v>4</v>
      </c>
      <c r="I111" s="159">
        <f t="shared" ref="I111" si="182">A111+J111</f>
        <v>0</v>
      </c>
      <c r="J111" s="17"/>
      <c r="K111" s="209"/>
      <c r="L111" s="200"/>
      <c r="M111" s="200"/>
      <c r="N111" s="79"/>
      <c r="O111" s="335"/>
      <c r="P111" s="335"/>
      <c r="Q111" s="338" t="str">
        <f t="shared" ref="Q111" si="183">IF(OR(ISBLANK(O111)),"",IF(AND(O111&lt;=4, P111&lt;=4),"Pass","Fail"))</f>
        <v/>
      </c>
      <c r="R111" s="341"/>
      <c r="S111" s="341"/>
      <c r="T111" s="460"/>
      <c r="U111" s="58"/>
      <c r="V111" s="365"/>
    </row>
    <row r="112" spans="1:22" ht="13" x14ac:dyDescent="0.3">
      <c r="A112" s="353"/>
      <c r="B112" s="355"/>
      <c r="C112" s="355"/>
      <c r="D112" s="355"/>
      <c r="E112" s="355"/>
      <c r="F112" s="355"/>
      <c r="G112" s="393"/>
      <c r="H112" s="105" t="s">
        <v>5</v>
      </c>
      <c r="I112" s="159">
        <f t="shared" ref="I112" si="184">A111+J112</f>
        <v>0</v>
      </c>
      <c r="J112" s="27"/>
      <c r="K112" s="210"/>
      <c r="L112" s="195"/>
      <c r="M112" s="195"/>
      <c r="N112" s="106" t="str">
        <f t="shared" ref="N112:N113" si="185">IF(OR(K112&gt;=M112, ISBLANK(K112)),"Pass","Fail")</f>
        <v>Pass</v>
      </c>
      <c r="O112" s="336"/>
      <c r="P112" s="336"/>
      <c r="Q112" s="339"/>
      <c r="R112" s="342"/>
      <c r="S112" s="342"/>
      <c r="T112" s="383"/>
      <c r="U112" s="30"/>
      <c r="V112" s="365"/>
    </row>
    <row r="113" spans="1:22" ht="13.5" thickBot="1" x14ac:dyDescent="0.35">
      <c r="A113" s="354"/>
      <c r="B113" s="356"/>
      <c r="C113" s="356"/>
      <c r="D113" s="356"/>
      <c r="E113" s="356"/>
      <c r="F113" s="356"/>
      <c r="G113" s="394"/>
      <c r="H113" s="107" t="s">
        <v>42</v>
      </c>
      <c r="I113" s="59">
        <f t="shared" ref="I113" si="186">A111+J113</f>
        <v>0</v>
      </c>
      <c r="J113" s="12"/>
      <c r="K113" s="212"/>
      <c r="L113" s="196"/>
      <c r="M113" s="196"/>
      <c r="N113" s="109" t="str">
        <f t="shared" si="185"/>
        <v>Pass</v>
      </c>
      <c r="O113" s="337"/>
      <c r="P113" s="337"/>
      <c r="Q113" s="340"/>
      <c r="R113" s="343"/>
      <c r="S113" s="343"/>
      <c r="T113" s="384"/>
      <c r="U113" s="14"/>
      <c r="V113" s="365"/>
    </row>
    <row r="114" spans="1:22" ht="14" hidden="1" customHeight="1" thickTop="1" thickBot="1" x14ac:dyDescent="0.35">
      <c r="A114" s="353"/>
      <c r="B114" s="355"/>
      <c r="C114" s="262"/>
      <c r="D114" s="262"/>
      <c r="E114" s="355"/>
      <c r="F114" s="355"/>
      <c r="G114" s="393"/>
      <c r="H114" s="37" t="s">
        <v>4</v>
      </c>
      <c r="I114" s="62">
        <f t="shared" ref="I114" si="187">A114+J114</f>
        <v>0</v>
      </c>
      <c r="J114" s="9"/>
      <c r="K114" s="211"/>
      <c r="L114" s="197"/>
      <c r="M114" s="197"/>
      <c r="N114" s="93"/>
      <c r="O114" s="336"/>
      <c r="P114" s="336"/>
      <c r="Q114" s="332" t="str">
        <f t="shared" ref="Q114" si="188">IF(OR(ISBLANK(O114)),"",IF(AND(O114&lt;=4, P114&lt;=4),"Pass","Fail"))</f>
        <v/>
      </c>
      <c r="R114" s="342"/>
      <c r="S114" s="342"/>
      <c r="T114" s="383"/>
      <c r="U114" s="78"/>
      <c r="V114" s="365"/>
    </row>
    <row r="115" spans="1:22" ht="14" hidden="1" customHeight="1" thickTop="1" thickBot="1" x14ac:dyDescent="0.35">
      <c r="A115" s="353"/>
      <c r="B115" s="355"/>
      <c r="C115" s="262"/>
      <c r="D115" s="262"/>
      <c r="E115" s="355"/>
      <c r="F115" s="355"/>
      <c r="G115" s="393"/>
      <c r="H115" s="101" t="s">
        <v>5</v>
      </c>
      <c r="I115" s="122">
        <f t="shared" ref="I115" si="189">A114+J115</f>
        <v>0</v>
      </c>
      <c r="J115" s="27"/>
      <c r="K115" s="210"/>
      <c r="L115" s="195"/>
      <c r="M115" s="195"/>
      <c r="N115" s="93" t="str">
        <f t="shared" ref="N115:N116" si="190">IF(OR(K115&gt;=M115, ISBLANK(K115)),"Pass","Fail")</f>
        <v>Pass</v>
      </c>
      <c r="O115" s="336"/>
      <c r="P115" s="336"/>
      <c r="Q115" s="333"/>
      <c r="R115" s="342"/>
      <c r="S115" s="342"/>
      <c r="T115" s="383"/>
      <c r="U115" s="30"/>
      <c r="V115" s="365"/>
    </row>
    <row r="116" spans="1:22" ht="14" hidden="1" customHeight="1" thickTop="1" thickBot="1" x14ac:dyDescent="0.35">
      <c r="A116" s="354"/>
      <c r="B116" s="356"/>
      <c r="C116" s="263"/>
      <c r="D116" s="263"/>
      <c r="E116" s="356"/>
      <c r="F116" s="356"/>
      <c r="G116" s="393"/>
      <c r="H116" s="41" t="s">
        <v>42</v>
      </c>
      <c r="I116" s="122">
        <f t="shared" ref="I116" si="191">A114+J116</f>
        <v>0</v>
      </c>
      <c r="J116" s="15"/>
      <c r="K116" s="212"/>
      <c r="L116" s="206"/>
      <c r="M116" s="196"/>
      <c r="N116" s="81" t="str">
        <f t="shared" si="190"/>
        <v>Pass</v>
      </c>
      <c r="O116" s="337"/>
      <c r="P116" s="337"/>
      <c r="Q116" s="334"/>
      <c r="R116" s="343"/>
      <c r="S116" s="343"/>
      <c r="T116" s="384"/>
      <c r="U116" s="95"/>
      <c r="V116" s="365"/>
    </row>
    <row r="117" spans="1:22" ht="13.5" thickTop="1" x14ac:dyDescent="0.3">
      <c r="A117" s="357"/>
      <c r="B117" s="350"/>
      <c r="C117" s="267"/>
      <c r="D117" s="267"/>
      <c r="E117" s="350"/>
      <c r="F117" s="350"/>
      <c r="G117" s="360"/>
      <c r="H117" s="37" t="s">
        <v>4</v>
      </c>
      <c r="I117" s="62">
        <f>A120+J120</f>
        <v>0</v>
      </c>
      <c r="J117" s="185"/>
      <c r="K117" s="207"/>
      <c r="L117" s="207"/>
      <c r="M117" s="215"/>
      <c r="N117" s="93"/>
      <c r="O117" s="329"/>
      <c r="P117" s="329"/>
      <c r="Q117" s="379" t="str">
        <f>IF(OR(ISBLANK(O120)),"",IF(AND(O120&lt;=4, P120&lt;=4),"Pass","Fail"))</f>
        <v/>
      </c>
      <c r="R117" s="329"/>
      <c r="S117" s="329"/>
      <c r="T117" s="332"/>
      <c r="U117" s="49"/>
    </row>
    <row r="118" spans="1:22" ht="13" x14ac:dyDescent="0.3">
      <c r="A118" s="358"/>
      <c r="B118" s="351"/>
      <c r="C118" s="265"/>
      <c r="D118" s="265"/>
      <c r="E118" s="351"/>
      <c r="F118" s="351"/>
      <c r="G118" s="361"/>
      <c r="H118" s="101" t="s">
        <v>5</v>
      </c>
      <c r="I118" s="122">
        <f>A120+J121</f>
        <v>0</v>
      </c>
      <c r="J118" s="186"/>
      <c r="K118" s="198"/>
      <c r="L118" s="198"/>
      <c r="M118" s="287"/>
      <c r="N118" s="93" t="str">
        <f t="shared" ref="N118:N119" si="192">IF(OR(K121&gt;=M121, ISBLANK(K121)),"Pass","Fail")</f>
        <v>Pass</v>
      </c>
      <c r="O118" s="330"/>
      <c r="P118" s="330"/>
      <c r="Q118" s="333"/>
      <c r="R118" s="330"/>
      <c r="S118" s="330"/>
      <c r="T118" s="333"/>
      <c r="U118" s="92"/>
    </row>
    <row r="119" spans="1:22" ht="13.5" thickBot="1" x14ac:dyDescent="0.35">
      <c r="A119" s="359"/>
      <c r="B119" s="352"/>
      <c r="C119" s="266"/>
      <c r="D119" s="266"/>
      <c r="E119" s="352"/>
      <c r="F119" s="352"/>
      <c r="G119" s="362"/>
      <c r="H119" s="41" t="s">
        <v>42</v>
      </c>
      <c r="I119" s="122">
        <f>A120+J122</f>
        <v>0</v>
      </c>
      <c r="J119" s="187"/>
      <c r="K119" s="205"/>
      <c r="L119" s="205"/>
      <c r="M119" s="202"/>
      <c r="N119" s="81" t="str">
        <f t="shared" si="192"/>
        <v>Pass</v>
      </c>
      <c r="O119" s="331"/>
      <c r="P119" s="331"/>
      <c r="Q119" s="334"/>
      <c r="R119" s="331"/>
      <c r="S119" s="331"/>
      <c r="T119" s="334"/>
      <c r="U119" s="54"/>
    </row>
    <row r="120" spans="1:22" ht="13.5" customHeight="1" thickTop="1" x14ac:dyDescent="0.3">
      <c r="A120" s="353"/>
      <c r="B120" s="355"/>
      <c r="C120" s="355"/>
      <c r="D120" s="355"/>
      <c r="E120" s="355"/>
      <c r="F120" s="419"/>
      <c r="G120" s="393"/>
      <c r="H120" s="27" t="s">
        <v>4</v>
      </c>
      <c r="I120" s="159">
        <f>A123+J123</f>
        <v>0</v>
      </c>
      <c r="J120" s="17"/>
      <c r="K120" s="209"/>
      <c r="L120" s="306"/>
      <c r="M120" s="197"/>
      <c r="N120" s="79"/>
      <c r="O120" s="335"/>
      <c r="P120" s="335"/>
      <c r="Q120" s="338" t="str">
        <f t="shared" ref="Q120" si="193">IF(OR(ISBLANK(O120)),"",IF(AND(O120&lt;=4, P120&lt;=4),"Pass","Fail"))</f>
        <v/>
      </c>
      <c r="R120" s="341"/>
      <c r="S120" s="341"/>
      <c r="T120" s="383"/>
      <c r="U120" s="58"/>
    </row>
    <row r="121" spans="1:22" ht="13" x14ac:dyDescent="0.3">
      <c r="A121" s="353"/>
      <c r="B121" s="355"/>
      <c r="C121" s="355"/>
      <c r="D121" s="355"/>
      <c r="E121" s="355"/>
      <c r="F121" s="355"/>
      <c r="G121" s="393"/>
      <c r="H121" s="105" t="s">
        <v>5</v>
      </c>
      <c r="I121" s="159">
        <f>A123+J124</f>
        <v>0</v>
      </c>
      <c r="J121" s="27"/>
      <c r="K121" s="210"/>
      <c r="L121" s="210"/>
      <c r="M121" s="195"/>
      <c r="N121" s="106" t="str">
        <f t="shared" ref="N121:N122" si="194">IF(OR(K124&gt;=M124, ISBLANK(K124)),"Pass","Fail")</f>
        <v>Pass</v>
      </c>
      <c r="O121" s="336"/>
      <c r="P121" s="336"/>
      <c r="Q121" s="339"/>
      <c r="R121" s="342"/>
      <c r="S121" s="342"/>
      <c r="T121" s="383"/>
      <c r="U121" s="30"/>
      <c r="V121" s="365"/>
    </row>
    <row r="122" spans="1:22" ht="13.5" thickBot="1" x14ac:dyDescent="0.35">
      <c r="A122" s="354"/>
      <c r="B122" s="356"/>
      <c r="C122" s="356"/>
      <c r="D122" s="356"/>
      <c r="E122" s="355"/>
      <c r="F122" s="420"/>
      <c r="G122" s="393"/>
      <c r="H122" s="107" t="s">
        <v>42</v>
      </c>
      <c r="I122" s="59">
        <f>A123+J125</f>
        <v>0</v>
      </c>
      <c r="J122" s="12"/>
      <c r="K122" s="212"/>
      <c r="L122" s="212"/>
      <c r="M122" s="196"/>
      <c r="N122" s="109" t="str">
        <f t="shared" si="194"/>
        <v>Pass</v>
      </c>
      <c r="O122" s="337"/>
      <c r="P122" s="337"/>
      <c r="Q122" s="340"/>
      <c r="R122" s="343"/>
      <c r="S122" s="343"/>
      <c r="T122" s="384"/>
      <c r="U122" s="14"/>
      <c r="V122" s="365"/>
    </row>
    <row r="123" spans="1:22" ht="13.5" customHeight="1" thickTop="1" x14ac:dyDescent="0.3">
      <c r="A123" s="358"/>
      <c r="B123" s="350"/>
      <c r="C123" s="267"/>
      <c r="D123" s="267"/>
      <c r="E123" s="350"/>
      <c r="F123" s="350"/>
      <c r="G123" s="360"/>
      <c r="H123" s="37" t="s">
        <v>4</v>
      </c>
      <c r="I123" s="62">
        <f>A126+J126</f>
        <v>0</v>
      </c>
      <c r="J123" s="37"/>
      <c r="K123" s="213"/>
      <c r="L123" s="213"/>
      <c r="M123" s="213"/>
      <c r="N123" s="93"/>
      <c r="O123" s="367"/>
      <c r="P123" s="367"/>
      <c r="Q123" s="332" t="str">
        <f t="shared" ref="Q123" si="195">IF(OR(ISBLANK(O123)),"",IF(AND(O123&lt;=4, P123&lt;=4),"Pass","Fail"))</f>
        <v/>
      </c>
      <c r="R123" s="330"/>
      <c r="S123" s="330"/>
      <c r="T123" s="333"/>
      <c r="U123" s="40"/>
      <c r="V123" s="365"/>
    </row>
    <row r="124" spans="1:22" ht="13" x14ac:dyDescent="0.3">
      <c r="A124" s="358"/>
      <c r="B124" s="351"/>
      <c r="C124" s="265"/>
      <c r="D124" s="265"/>
      <c r="E124" s="351"/>
      <c r="F124" s="351"/>
      <c r="G124" s="361"/>
      <c r="H124" s="101" t="s">
        <v>5</v>
      </c>
      <c r="I124" s="122">
        <f>A126+J127</f>
        <v>0</v>
      </c>
      <c r="J124" s="90"/>
      <c r="K124" s="198"/>
      <c r="L124" s="198"/>
      <c r="M124" s="198"/>
      <c r="N124" s="93" t="str">
        <f t="shared" ref="N124:N125" si="196">IF(OR(K127&gt;=M127, ISBLANK(K127)),"Pass","Fail")</f>
        <v>Pass</v>
      </c>
      <c r="O124" s="367"/>
      <c r="P124" s="367"/>
      <c r="Q124" s="333"/>
      <c r="R124" s="330"/>
      <c r="S124" s="330"/>
      <c r="T124" s="333"/>
      <c r="U124" s="92"/>
    </row>
    <row r="125" spans="1:22" ht="13.5" thickBot="1" x14ac:dyDescent="0.35">
      <c r="A125" s="359"/>
      <c r="B125" s="352"/>
      <c r="C125" s="266"/>
      <c r="D125" s="266"/>
      <c r="E125" s="352"/>
      <c r="F125" s="352"/>
      <c r="G125" s="362"/>
      <c r="H125" s="41" t="s">
        <v>42</v>
      </c>
      <c r="I125" s="122">
        <f>A126+J128</f>
        <v>0</v>
      </c>
      <c r="J125" s="41"/>
      <c r="K125" s="205"/>
      <c r="L125" s="213"/>
      <c r="M125" s="208"/>
      <c r="N125" s="81" t="str">
        <f t="shared" si="196"/>
        <v>Pass</v>
      </c>
      <c r="O125" s="368"/>
      <c r="P125" s="368"/>
      <c r="Q125" s="334"/>
      <c r="R125" s="331"/>
      <c r="S125" s="331"/>
      <c r="T125" s="334"/>
      <c r="U125" s="40"/>
    </row>
    <row r="126" spans="1:22" ht="13.5" thickTop="1" x14ac:dyDescent="0.3">
      <c r="A126" s="386"/>
      <c r="B126" s="344"/>
      <c r="C126" s="268"/>
      <c r="D126" s="268"/>
      <c r="E126" s="344"/>
      <c r="F126" s="344"/>
      <c r="G126" s="346"/>
      <c r="H126" s="27" t="s">
        <v>4</v>
      </c>
      <c r="I126" s="159">
        <f>A129+J129</f>
        <v>0</v>
      </c>
      <c r="J126" s="238"/>
      <c r="K126" s="305"/>
      <c r="L126" s="305"/>
      <c r="M126" s="303"/>
      <c r="N126" s="79"/>
      <c r="O126" s="341"/>
      <c r="P126" s="341"/>
      <c r="Q126" s="338" t="str">
        <f t="shared" ref="Q126" si="197">IF(OR(ISBLANK(O126)),"",IF(AND(O126&lt;=4, P126&lt;=4),"Pass","Fail"))</f>
        <v/>
      </c>
      <c r="R126" s="341"/>
      <c r="S126" s="341"/>
      <c r="T126" s="338"/>
      <c r="U126" s="249"/>
    </row>
    <row r="127" spans="1:22" ht="13" x14ac:dyDescent="0.3">
      <c r="A127" s="387"/>
      <c r="B127" s="345"/>
      <c r="C127" s="220"/>
      <c r="D127" s="220"/>
      <c r="E127" s="345"/>
      <c r="F127" s="345"/>
      <c r="G127" s="347"/>
      <c r="H127" s="105" t="s">
        <v>5</v>
      </c>
      <c r="I127" s="159">
        <f>A129+J130</f>
        <v>0</v>
      </c>
      <c r="J127" s="230"/>
      <c r="K127" s="296"/>
      <c r="L127" s="296"/>
      <c r="M127" s="291"/>
      <c r="N127" s="106" t="str">
        <f t="shared" ref="N127:N128" si="198">IF(OR(K130&gt;=M130, ISBLANK(K130)),"Pass","Fail")</f>
        <v>Pass</v>
      </c>
      <c r="O127" s="342"/>
      <c r="P127" s="342"/>
      <c r="Q127" s="339"/>
      <c r="R127" s="342"/>
      <c r="S127" s="342"/>
      <c r="T127" s="339"/>
      <c r="U127" s="242"/>
    </row>
    <row r="128" spans="1:22" ht="13.5" thickBot="1" x14ac:dyDescent="0.35">
      <c r="A128" s="388"/>
      <c r="B128" s="364"/>
      <c r="C128" s="221"/>
      <c r="D128" s="221"/>
      <c r="E128" s="364"/>
      <c r="F128" s="364"/>
      <c r="G128" s="385"/>
      <c r="H128" s="107" t="s">
        <v>42</v>
      </c>
      <c r="I128" s="59">
        <f>A129+J131</f>
        <v>0</v>
      </c>
      <c r="J128" s="234"/>
      <c r="K128" s="301"/>
      <c r="L128" s="301"/>
      <c r="M128" s="292"/>
      <c r="N128" s="109" t="str">
        <f t="shared" si="198"/>
        <v>Pass</v>
      </c>
      <c r="O128" s="343"/>
      <c r="P128" s="343"/>
      <c r="Q128" s="340"/>
      <c r="R128" s="343"/>
      <c r="S128" s="343"/>
      <c r="T128" s="340"/>
      <c r="U128" s="147"/>
    </row>
    <row r="129" spans="1:21" ht="13.5" thickTop="1" x14ac:dyDescent="0.3">
      <c r="A129" s="357"/>
      <c r="B129" s="350"/>
      <c r="C129" s="267"/>
      <c r="D129" s="267"/>
      <c r="E129" s="350"/>
      <c r="F129" s="350"/>
      <c r="G129" s="360"/>
      <c r="H129" s="37" t="s">
        <v>4</v>
      </c>
      <c r="I129" s="62">
        <f>A132+J132</f>
        <v>0</v>
      </c>
      <c r="J129" s="185"/>
      <c r="K129" s="207"/>
      <c r="L129" s="207"/>
      <c r="M129" s="207"/>
      <c r="N129" s="93"/>
      <c r="O129" s="329"/>
      <c r="P129" s="329"/>
      <c r="Q129" s="332" t="str">
        <f t="shared" ref="Q129" si="199">IF(OR(ISBLANK(O129)),"",IF(AND(O129&lt;=4, P129&lt;=4),"Pass","Fail"))</f>
        <v/>
      </c>
      <c r="R129" s="329"/>
      <c r="S129" s="329"/>
      <c r="T129" s="461"/>
      <c r="U129" s="49"/>
    </row>
    <row r="130" spans="1:21" ht="13" x14ac:dyDescent="0.3">
      <c r="A130" s="358"/>
      <c r="B130" s="351"/>
      <c r="C130" s="265"/>
      <c r="D130" s="265"/>
      <c r="E130" s="351"/>
      <c r="F130" s="351"/>
      <c r="G130" s="361"/>
      <c r="H130" s="101" t="s">
        <v>5</v>
      </c>
      <c r="I130" s="122">
        <f>A132+J133</f>
        <v>0</v>
      </c>
      <c r="J130" s="186"/>
      <c r="K130" s="198"/>
      <c r="L130" s="198"/>
      <c r="M130" s="198"/>
      <c r="N130" s="93" t="str">
        <f t="shared" ref="N130:N131" si="200">IF(OR(K133&gt;=M133, ISBLANK(K133)),"Pass","Fail")</f>
        <v>Pass</v>
      </c>
      <c r="O130" s="330"/>
      <c r="P130" s="330"/>
      <c r="Q130" s="333"/>
      <c r="R130" s="330"/>
      <c r="S130" s="330"/>
      <c r="T130" s="369"/>
      <c r="U130" s="92"/>
    </row>
    <row r="131" spans="1:21" ht="13.5" thickBot="1" x14ac:dyDescent="0.35">
      <c r="A131" s="359"/>
      <c r="B131" s="352"/>
      <c r="C131" s="266"/>
      <c r="D131" s="266"/>
      <c r="E131" s="352"/>
      <c r="F131" s="352"/>
      <c r="G131" s="362"/>
      <c r="H131" s="41" t="s">
        <v>42</v>
      </c>
      <c r="I131" s="122">
        <f>A132+J134</f>
        <v>0</v>
      </c>
      <c r="J131" s="187"/>
      <c r="K131" s="205"/>
      <c r="L131" s="205"/>
      <c r="M131" s="205"/>
      <c r="N131" s="81" t="str">
        <f t="shared" si="200"/>
        <v>Pass</v>
      </c>
      <c r="O131" s="331"/>
      <c r="P131" s="331"/>
      <c r="Q131" s="334"/>
      <c r="R131" s="331"/>
      <c r="S131" s="331"/>
      <c r="T131" s="462"/>
      <c r="U131" s="54"/>
    </row>
    <row r="132" spans="1:21" ht="13.5" thickTop="1" x14ac:dyDescent="0.3">
      <c r="A132" s="421"/>
      <c r="B132" s="424"/>
      <c r="C132" s="424"/>
      <c r="D132" s="424"/>
      <c r="E132" s="424"/>
      <c r="F132" s="424"/>
      <c r="G132" s="346"/>
      <c r="H132" s="27" t="s">
        <v>4</v>
      </c>
      <c r="I132" s="159">
        <f>A135+J135</f>
        <v>0</v>
      </c>
      <c r="J132" s="17"/>
      <c r="K132" s="209"/>
      <c r="L132" s="200"/>
      <c r="M132" s="200"/>
      <c r="N132" s="79"/>
      <c r="O132" s="335"/>
      <c r="P132" s="335"/>
      <c r="Q132" s="338" t="str">
        <f t="shared" ref="Q132" si="201">IF(OR(ISBLANK(O132)),"",IF(AND(O132&lt;=4, P132&lt;=4),"Pass","Fail"))</f>
        <v/>
      </c>
      <c r="R132" s="341"/>
      <c r="S132" s="341"/>
      <c r="T132" s="460"/>
      <c r="U132" s="58"/>
    </row>
    <row r="133" spans="1:21" ht="14.5" customHeight="1" x14ac:dyDescent="0.3">
      <c r="A133" s="422"/>
      <c r="B133" s="425"/>
      <c r="C133" s="425"/>
      <c r="D133" s="425"/>
      <c r="E133" s="425"/>
      <c r="F133" s="425"/>
      <c r="G133" s="347"/>
      <c r="H133" s="105" t="s">
        <v>5</v>
      </c>
      <c r="I133" s="159">
        <f>A135+J136</f>
        <v>0</v>
      </c>
      <c r="J133" s="27"/>
      <c r="K133" s="210"/>
      <c r="L133" s="195"/>
      <c r="M133" s="195"/>
      <c r="N133" s="106" t="str">
        <f t="shared" ref="N133:N134" si="202">IF(OR(K136&gt;=M136, ISBLANK(K136)),"Pass","Fail")</f>
        <v>Pass</v>
      </c>
      <c r="O133" s="336"/>
      <c r="P133" s="336"/>
      <c r="Q133" s="339"/>
      <c r="R133" s="342"/>
      <c r="S133" s="342"/>
      <c r="T133" s="383"/>
      <c r="U133" s="30"/>
    </row>
    <row r="134" spans="1:21" ht="15" customHeight="1" thickBot="1" x14ac:dyDescent="0.35">
      <c r="A134" s="423"/>
      <c r="B134" s="420"/>
      <c r="C134" s="420"/>
      <c r="D134" s="420"/>
      <c r="E134" s="420"/>
      <c r="F134" s="420"/>
      <c r="G134" s="385"/>
      <c r="H134" s="107" t="s">
        <v>42</v>
      </c>
      <c r="I134" s="59">
        <f>A135+J137</f>
        <v>0</v>
      </c>
      <c r="J134" s="12"/>
      <c r="K134" s="212"/>
      <c r="L134" s="196"/>
      <c r="M134" s="196"/>
      <c r="N134" s="109" t="str">
        <f t="shared" si="202"/>
        <v>Pass</v>
      </c>
      <c r="O134" s="337"/>
      <c r="P134" s="337"/>
      <c r="Q134" s="340"/>
      <c r="R134" s="343"/>
      <c r="S134" s="343"/>
      <c r="T134" s="384"/>
      <c r="U134" s="14"/>
    </row>
    <row r="135" spans="1:21" ht="15.75" customHeight="1" thickTop="1" x14ac:dyDescent="0.3">
      <c r="A135" s="358"/>
      <c r="B135" s="351"/>
      <c r="C135" s="265"/>
      <c r="D135" s="265"/>
      <c r="E135" s="351"/>
      <c r="F135" s="351"/>
      <c r="G135" s="361"/>
      <c r="H135" s="37" t="s">
        <v>4</v>
      </c>
      <c r="I135" s="62">
        <f>A138+J138</f>
        <v>0</v>
      </c>
      <c r="J135" s="37"/>
      <c r="K135" s="213"/>
      <c r="L135" s="213"/>
      <c r="M135" s="213"/>
      <c r="N135" s="93"/>
      <c r="O135" s="330"/>
      <c r="P135" s="330"/>
      <c r="Q135" s="332" t="str">
        <f t="shared" ref="Q135" si="203">IF(OR(ISBLANK(O135)),"",IF(AND(O135&lt;=4, P135&lt;=4),"Pass","Fail"))</f>
        <v/>
      </c>
      <c r="R135" s="330"/>
      <c r="S135" s="330"/>
      <c r="T135" s="333"/>
      <c r="U135" s="40"/>
    </row>
    <row r="136" spans="1:21" ht="15.75" customHeight="1" x14ac:dyDescent="0.3">
      <c r="A136" s="358"/>
      <c r="B136" s="351"/>
      <c r="C136" s="265"/>
      <c r="D136" s="265"/>
      <c r="E136" s="351"/>
      <c r="F136" s="351"/>
      <c r="G136" s="361"/>
      <c r="H136" s="101" t="s">
        <v>5</v>
      </c>
      <c r="I136" s="122">
        <f>A138+J139</f>
        <v>0</v>
      </c>
      <c r="J136" s="90"/>
      <c r="K136" s="198"/>
      <c r="L136" s="198"/>
      <c r="M136" s="198"/>
      <c r="N136" s="93" t="str">
        <f t="shared" ref="N136:N137" si="204">IF(OR(K139&gt;=M139, ISBLANK(K139)),"Pass","Fail")</f>
        <v>Pass</v>
      </c>
      <c r="O136" s="330"/>
      <c r="P136" s="330"/>
      <c r="Q136" s="333"/>
      <c r="R136" s="330"/>
      <c r="S136" s="330"/>
      <c r="T136" s="333"/>
      <c r="U136" s="92"/>
    </row>
    <row r="137" spans="1:21" ht="15.75" customHeight="1" thickBot="1" x14ac:dyDescent="0.35">
      <c r="A137" s="359"/>
      <c r="B137" s="351"/>
      <c r="C137" s="265"/>
      <c r="D137" s="265"/>
      <c r="E137" s="352"/>
      <c r="F137" s="352"/>
      <c r="G137" s="361"/>
      <c r="H137" s="41" t="s">
        <v>42</v>
      </c>
      <c r="I137" s="122">
        <f>A138+J140</f>
        <v>0</v>
      </c>
      <c r="J137" s="41"/>
      <c r="K137" s="205"/>
      <c r="L137" s="198"/>
      <c r="M137" s="198"/>
      <c r="N137" s="81" t="str">
        <f t="shared" si="204"/>
        <v>Pass</v>
      </c>
      <c r="O137" s="331"/>
      <c r="P137" s="331"/>
      <c r="Q137" s="334"/>
      <c r="R137" s="331"/>
      <c r="S137" s="331"/>
      <c r="T137" s="334"/>
      <c r="U137" s="92"/>
    </row>
    <row r="138" spans="1:21" ht="13.5" thickTop="1" x14ac:dyDescent="0.3">
      <c r="A138" s="386"/>
      <c r="B138" s="344"/>
      <c r="C138" s="268"/>
      <c r="D138" s="268"/>
      <c r="E138" s="344"/>
      <c r="F138" s="344"/>
      <c r="G138" s="346"/>
      <c r="H138" s="27" t="s">
        <v>4</v>
      </c>
      <c r="I138" s="159">
        <f>A141+J141</f>
        <v>0</v>
      </c>
      <c r="J138" s="238"/>
      <c r="K138" s="305"/>
      <c r="L138" s="305"/>
      <c r="M138" s="305"/>
      <c r="N138" s="79"/>
      <c r="O138" s="341"/>
      <c r="P138" s="341"/>
      <c r="Q138" s="338" t="str">
        <f t="shared" ref="Q138" si="205">IF(OR(ISBLANK(O138)),"",IF(AND(O138&lt;=4, P138&lt;=4),"Pass","Fail"))</f>
        <v/>
      </c>
      <c r="R138" s="341"/>
      <c r="S138" s="341"/>
      <c r="T138" s="338"/>
      <c r="U138" s="249"/>
    </row>
    <row r="139" spans="1:21" ht="13" x14ac:dyDescent="0.3">
      <c r="A139" s="387"/>
      <c r="B139" s="345"/>
      <c r="C139" s="220"/>
      <c r="D139" s="220"/>
      <c r="E139" s="345"/>
      <c r="F139" s="345"/>
      <c r="G139" s="347"/>
      <c r="H139" s="105" t="s">
        <v>5</v>
      </c>
      <c r="I139" s="159">
        <f>A141+J142</f>
        <v>0</v>
      </c>
      <c r="J139" s="230"/>
      <c r="K139" s="296"/>
      <c r="L139" s="296"/>
      <c r="M139" s="316"/>
      <c r="N139" s="106" t="str">
        <f t="shared" ref="N139:N140" si="206">IF(OR(K142&gt;=M142, ISBLANK(K142)),"Pass","Fail")</f>
        <v>Pass</v>
      </c>
      <c r="O139" s="342"/>
      <c r="P139" s="342"/>
      <c r="Q139" s="339"/>
      <c r="R139" s="342"/>
      <c r="S139" s="342"/>
      <c r="T139" s="339"/>
      <c r="U139" s="258"/>
    </row>
    <row r="140" spans="1:21" ht="13.5" thickBot="1" x14ac:dyDescent="0.35">
      <c r="A140" s="218"/>
      <c r="B140" s="220"/>
      <c r="C140" s="220"/>
      <c r="D140" s="220"/>
      <c r="E140" s="220"/>
      <c r="F140" s="220"/>
      <c r="G140" s="223"/>
      <c r="H140" s="107" t="s">
        <v>42</v>
      </c>
      <c r="I140" s="59">
        <f>A141+J143</f>
        <v>0</v>
      </c>
      <c r="J140" s="230"/>
      <c r="L140" s="296"/>
      <c r="M140" s="296"/>
      <c r="N140" s="109" t="str">
        <f t="shared" si="206"/>
        <v>Pass</v>
      </c>
      <c r="O140" s="264"/>
      <c r="P140" s="264"/>
      <c r="Q140" s="340"/>
      <c r="R140" s="264"/>
      <c r="S140" s="264"/>
      <c r="T140" s="229"/>
      <c r="U140" s="258"/>
    </row>
    <row r="141" spans="1:21" ht="13.5" thickTop="1" x14ac:dyDescent="0.3">
      <c r="A141" s="357"/>
      <c r="B141" s="350"/>
      <c r="C141" s="267"/>
      <c r="D141" s="267"/>
      <c r="E141" s="350"/>
      <c r="F141" s="350"/>
      <c r="G141" s="360"/>
      <c r="H141" s="37" t="s">
        <v>4</v>
      </c>
      <c r="I141" s="62">
        <f>A144+J144</f>
        <v>0</v>
      </c>
      <c r="J141" s="185"/>
      <c r="K141" s="207"/>
      <c r="L141" s="207"/>
      <c r="M141" s="207"/>
      <c r="N141" s="93"/>
      <c r="O141" s="329"/>
      <c r="P141" s="329"/>
      <c r="Q141" s="332" t="str">
        <f t="shared" ref="Q141" si="207">IF(OR(ISBLANK(O141)),"",IF(AND(O141&lt;=4, P141&lt;=4),"Pass","Fail"))</f>
        <v/>
      </c>
      <c r="R141" s="329"/>
      <c r="S141" s="329"/>
      <c r="T141" s="379"/>
      <c r="U141" s="49"/>
    </row>
    <row r="142" spans="1:21" ht="13" x14ac:dyDescent="0.3">
      <c r="A142" s="358"/>
      <c r="B142" s="351"/>
      <c r="C142" s="265"/>
      <c r="D142" s="265"/>
      <c r="E142" s="351"/>
      <c r="F142" s="351"/>
      <c r="G142" s="361"/>
      <c r="H142" s="101" t="s">
        <v>5</v>
      </c>
      <c r="I142" s="122">
        <f>A144+J145</f>
        <v>0</v>
      </c>
      <c r="J142" s="186"/>
      <c r="K142" s="198"/>
      <c r="L142" s="198"/>
      <c r="M142" s="317"/>
      <c r="N142" s="93" t="str">
        <f t="shared" ref="N142:N143" si="208">IF(OR(K145&gt;=M145, ISBLANK(K145)),"Pass","Fail")</f>
        <v>Pass</v>
      </c>
      <c r="O142" s="330"/>
      <c r="P142" s="330"/>
      <c r="Q142" s="333"/>
      <c r="R142" s="330"/>
      <c r="S142" s="330"/>
      <c r="T142" s="333"/>
      <c r="U142" s="92"/>
    </row>
    <row r="143" spans="1:21" ht="14.25" customHeight="1" thickBot="1" x14ac:dyDescent="0.35">
      <c r="A143" s="359"/>
      <c r="B143" s="352"/>
      <c r="C143" s="266"/>
      <c r="D143" s="266"/>
      <c r="E143" s="352"/>
      <c r="F143" s="352"/>
      <c r="G143" s="362"/>
      <c r="H143" s="41" t="s">
        <v>42</v>
      </c>
      <c r="I143" s="122">
        <f>A144+J146</f>
        <v>0</v>
      </c>
      <c r="J143" s="50"/>
      <c r="K143" s="205"/>
      <c r="L143" s="205"/>
      <c r="M143" s="205"/>
      <c r="N143" s="81" t="str">
        <f t="shared" si="208"/>
        <v>Pass</v>
      </c>
      <c r="O143" s="331"/>
      <c r="P143" s="331"/>
      <c r="Q143" s="334"/>
      <c r="R143" s="331"/>
      <c r="S143" s="331"/>
      <c r="T143" s="334"/>
      <c r="U143" s="92"/>
    </row>
    <row r="144" spans="1:21" ht="13.5" thickTop="1" x14ac:dyDescent="0.3">
      <c r="A144" s="353"/>
      <c r="B144" s="355"/>
      <c r="C144" s="355"/>
      <c r="D144" s="355"/>
      <c r="E144" s="345"/>
      <c r="F144" s="345"/>
      <c r="G144" s="393"/>
      <c r="H144" s="27" t="s">
        <v>4</v>
      </c>
      <c r="I144" s="159">
        <f>A147+J147</f>
        <v>0</v>
      </c>
      <c r="J144" s="9"/>
      <c r="K144" s="211"/>
      <c r="L144" s="197"/>
      <c r="M144" s="197"/>
      <c r="N144" s="79"/>
      <c r="O144" s="348"/>
      <c r="P144" s="348"/>
      <c r="Q144" s="460"/>
      <c r="R144" s="348"/>
      <c r="S144" s="348"/>
      <c r="T144" s="383"/>
      <c r="U144" s="78"/>
    </row>
    <row r="145" spans="1:21" ht="13" x14ac:dyDescent="0.3">
      <c r="A145" s="353"/>
      <c r="B145" s="355"/>
      <c r="C145" s="355"/>
      <c r="D145" s="355"/>
      <c r="E145" s="345"/>
      <c r="F145" s="345"/>
      <c r="G145" s="393"/>
      <c r="H145" s="105" t="s">
        <v>5</v>
      </c>
      <c r="I145" s="159">
        <f>A147+J148</f>
        <v>0</v>
      </c>
      <c r="J145" s="27"/>
      <c r="K145" s="210"/>
      <c r="L145" s="195"/>
      <c r="M145" s="195"/>
      <c r="N145" s="106" t="str">
        <f t="shared" ref="N145:N146" si="209">IF(OR(K148&gt;=M148, ISBLANK(K148)),"Pass","Fail")</f>
        <v>Pass</v>
      </c>
      <c r="O145" s="348"/>
      <c r="P145" s="348"/>
      <c r="Q145" s="383"/>
      <c r="R145" s="348"/>
      <c r="S145" s="348"/>
      <c r="T145" s="383"/>
      <c r="U145" s="30"/>
    </row>
    <row r="146" spans="1:21" ht="13.5" thickBot="1" x14ac:dyDescent="0.35">
      <c r="A146" s="354"/>
      <c r="B146" s="355"/>
      <c r="C146" s="355"/>
      <c r="D146" s="355"/>
      <c r="E146" s="364"/>
      <c r="F146" s="364"/>
      <c r="G146" s="393"/>
      <c r="H146" s="107" t="s">
        <v>42</v>
      </c>
      <c r="I146" s="59">
        <f>A147+J149</f>
        <v>0</v>
      </c>
      <c r="J146" s="12"/>
      <c r="K146" s="212"/>
      <c r="L146" s="196"/>
      <c r="M146" s="196"/>
      <c r="N146" s="109" t="str">
        <f t="shared" si="209"/>
        <v>Pass</v>
      </c>
      <c r="O146" s="349"/>
      <c r="P146" s="349"/>
      <c r="Q146" s="384"/>
      <c r="R146" s="349"/>
      <c r="S146" s="349"/>
      <c r="T146" s="384"/>
      <c r="U146" s="30"/>
    </row>
    <row r="147" spans="1:21" ht="13.5" thickTop="1" x14ac:dyDescent="0.3">
      <c r="A147" s="358"/>
      <c r="B147" s="350"/>
      <c r="C147" s="267"/>
      <c r="D147" s="267"/>
      <c r="E147" s="350"/>
      <c r="F147" s="350"/>
      <c r="G147" s="360"/>
      <c r="H147" s="37" t="s">
        <v>4</v>
      </c>
      <c r="I147" s="62">
        <f>A150+J150</f>
        <v>0</v>
      </c>
      <c r="J147" s="37"/>
      <c r="K147" s="213"/>
      <c r="L147" s="213"/>
      <c r="M147" s="213"/>
      <c r="N147" s="93"/>
      <c r="O147" s="370"/>
      <c r="P147" s="370"/>
      <c r="Q147" s="379"/>
      <c r="R147" s="370"/>
      <c r="S147" s="370"/>
      <c r="T147" s="332"/>
      <c r="U147" s="40"/>
    </row>
    <row r="148" spans="1:21" ht="13" x14ac:dyDescent="0.3">
      <c r="A148" s="358"/>
      <c r="B148" s="351"/>
      <c r="C148" s="265"/>
      <c r="D148" s="265"/>
      <c r="E148" s="351"/>
      <c r="F148" s="351"/>
      <c r="G148" s="361"/>
      <c r="H148" s="101" t="s">
        <v>5</v>
      </c>
      <c r="I148" s="122">
        <f>A150+J151</f>
        <v>0</v>
      </c>
      <c r="J148" s="90"/>
      <c r="K148" s="198"/>
      <c r="L148" s="198"/>
      <c r="M148" s="198"/>
      <c r="N148" s="93" t="str">
        <f t="shared" ref="N148:N149" si="210">IF(OR(K151&gt;=M151, ISBLANK(K151)),"Pass","Fail")</f>
        <v>Pass</v>
      </c>
      <c r="O148" s="330"/>
      <c r="P148" s="330"/>
      <c r="Q148" s="333"/>
      <c r="R148" s="330"/>
      <c r="S148" s="330"/>
      <c r="T148" s="333"/>
      <c r="U148" s="92"/>
    </row>
    <row r="149" spans="1:21" ht="13.5" thickBot="1" x14ac:dyDescent="0.35">
      <c r="A149" s="359"/>
      <c r="B149" s="351"/>
      <c r="C149" s="265"/>
      <c r="D149" s="265"/>
      <c r="E149" s="352"/>
      <c r="F149" s="352"/>
      <c r="G149" s="361"/>
      <c r="H149" s="41" t="s">
        <v>42</v>
      </c>
      <c r="I149" s="122">
        <f>A150+J152</f>
        <v>0</v>
      </c>
      <c r="J149" s="50"/>
      <c r="K149" s="205"/>
      <c r="L149" s="205"/>
      <c r="M149" s="205"/>
      <c r="N149" s="81" t="str">
        <f t="shared" si="210"/>
        <v>Pass</v>
      </c>
      <c r="O149" s="331"/>
      <c r="P149" s="331"/>
      <c r="Q149" s="334"/>
      <c r="R149" s="331"/>
      <c r="S149" s="331"/>
      <c r="T149" s="334"/>
      <c r="U149" s="92"/>
    </row>
    <row r="150" spans="1:21" ht="13.5" thickTop="1" x14ac:dyDescent="0.3">
      <c r="A150" s="353"/>
      <c r="B150" s="417"/>
      <c r="C150" s="417"/>
      <c r="D150" s="417"/>
      <c r="E150" s="344"/>
      <c r="F150" s="344"/>
      <c r="G150" s="418"/>
      <c r="H150" s="27" t="s">
        <v>4</v>
      </c>
      <c r="I150" s="159">
        <f>A153+J153</f>
        <v>0</v>
      </c>
      <c r="J150" s="9"/>
      <c r="K150" s="211"/>
      <c r="L150" s="197"/>
      <c r="M150" s="197"/>
      <c r="N150" s="79"/>
      <c r="O150" s="380"/>
      <c r="P150" s="380"/>
      <c r="Q150" s="460"/>
      <c r="R150" s="380"/>
      <c r="S150" s="380"/>
      <c r="T150" s="382"/>
      <c r="U150" s="78"/>
    </row>
    <row r="151" spans="1:21" ht="13" x14ac:dyDescent="0.3">
      <c r="A151" s="353"/>
      <c r="B151" s="355"/>
      <c r="C151" s="355"/>
      <c r="D151" s="355"/>
      <c r="E151" s="345"/>
      <c r="F151" s="345"/>
      <c r="G151" s="393"/>
      <c r="H151" s="105" t="s">
        <v>5</v>
      </c>
      <c r="I151" s="159">
        <f>A153+J154</f>
        <v>0</v>
      </c>
      <c r="J151" s="27"/>
      <c r="K151" s="210"/>
      <c r="L151" s="195"/>
      <c r="M151" s="195"/>
      <c r="N151" s="106" t="str">
        <f t="shared" ref="N151:N152" si="211">IF(OR(K154&gt;=M154, ISBLANK(K154)),"Pass","Fail")</f>
        <v>Pass</v>
      </c>
      <c r="O151" s="348"/>
      <c r="P151" s="348"/>
      <c r="Q151" s="383"/>
      <c r="R151" s="348"/>
      <c r="S151" s="348"/>
      <c r="T151" s="383"/>
      <c r="U151" s="30"/>
    </row>
    <row r="152" spans="1:21" ht="13.5" thickBot="1" x14ac:dyDescent="0.35">
      <c r="A152" s="354"/>
      <c r="B152" s="355"/>
      <c r="C152" s="356"/>
      <c r="D152" s="356"/>
      <c r="E152" s="364"/>
      <c r="F152" s="364"/>
      <c r="G152" s="394"/>
      <c r="H152" s="107" t="s">
        <v>42</v>
      </c>
      <c r="I152" s="59">
        <f>A153+J155</f>
        <v>0</v>
      </c>
      <c r="J152" s="12"/>
      <c r="K152" s="212"/>
      <c r="L152" s="196"/>
      <c r="M152" s="196"/>
      <c r="N152" s="109" t="str">
        <f t="shared" si="211"/>
        <v>Pass</v>
      </c>
      <c r="O152" s="349"/>
      <c r="P152" s="349"/>
      <c r="Q152" s="384"/>
      <c r="R152" s="349"/>
      <c r="S152" s="349"/>
      <c r="T152" s="384"/>
      <c r="U152" s="30"/>
    </row>
    <row r="153" spans="1:21" ht="13.5" thickTop="1" x14ac:dyDescent="0.3">
      <c r="A153" s="358"/>
      <c r="B153" s="350"/>
      <c r="C153" s="265"/>
      <c r="D153" s="265"/>
      <c r="E153" s="351"/>
      <c r="F153" s="351"/>
      <c r="G153" s="361"/>
      <c r="H153" s="37" t="s">
        <v>4</v>
      </c>
      <c r="I153" s="62">
        <f>A156+J156</f>
        <v>0</v>
      </c>
      <c r="J153" s="37"/>
      <c r="K153" s="213"/>
      <c r="L153" s="213"/>
      <c r="M153" s="213"/>
      <c r="N153" s="93"/>
      <c r="O153" s="329"/>
      <c r="P153" s="329"/>
      <c r="Q153" s="461"/>
      <c r="R153" s="329"/>
      <c r="S153" s="329"/>
      <c r="T153" s="461"/>
      <c r="U153" s="40"/>
    </row>
    <row r="154" spans="1:21" ht="13" x14ac:dyDescent="0.3">
      <c r="A154" s="358"/>
      <c r="B154" s="351"/>
      <c r="C154" s="265"/>
      <c r="D154" s="265"/>
      <c r="E154" s="351"/>
      <c r="F154" s="351"/>
      <c r="G154" s="361"/>
      <c r="H154" s="101" t="s">
        <v>5</v>
      </c>
      <c r="I154" s="122">
        <f>A156+J157</f>
        <v>0</v>
      </c>
      <c r="J154" s="90"/>
      <c r="K154" s="198"/>
      <c r="L154" s="198"/>
      <c r="M154" s="198"/>
      <c r="N154" s="93" t="str">
        <f t="shared" ref="N154:N155" si="212">IF(OR(K157&gt;=M157, ISBLANK(K157)),"Pass","Fail")</f>
        <v>Pass</v>
      </c>
      <c r="O154" s="330"/>
      <c r="P154" s="330"/>
      <c r="Q154" s="369"/>
      <c r="R154" s="330"/>
      <c r="S154" s="330"/>
      <c r="T154" s="369"/>
      <c r="U154" s="92"/>
    </row>
    <row r="155" spans="1:21" ht="13.5" thickBot="1" x14ac:dyDescent="0.35">
      <c r="A155" s="359"/>
      <c r="B155" s="352"/>
      <c r="C155" s="266"/>
      <c r="D155" s="266"/>
      <c r="E155" s="352"/>
      <c r="F155" s="352"/>
      <c r="G155" s="362"/>
      <c r="H155" s="41" t="s">
        <v>42</v>
      </c>
      <c r="I155" s="122">
        <f>A156+J158</f>
        <v>0</v>
      </c>
      <c r="J155" s="50"/>
      <c r="K155" s="205"/>
      <c r="L155" s="205"/>
      <c r="M155" s="205"/>
      <c r="N155" s="81" t="str">
        <f t="shared" si="212"/>
        <v>Pass</v>
      </c>
      <c r="O155" s="331"/>
      <c r="P155" s="331"/>
      <c r="Q155" s="462"/>
      <c r="R155" s="331"/>
      <c r="S155" s="331"/>
      <c r="T155" s="462"/>
      <c r="U155" s="54"/>
    </row>
    <row r="156" spans="1:21" ht="13.5" thickTop="1" x14ac:dyDescent="0.3">
      <c r="A156" s="218"/>
      <c r="B156" s="220"/>
      <c r="C156" s="220"/>
      <c r="D156" s="220"/>
      <c r="E156" s="345"/>
      <c r="F156" s="345"/>
      <c r="G156" s="223"/>
      <c r="H156" s="27" t="s">
        <v>4</v>
      </c>
      <c r="I156" s="159">
        <f>A159+J159</f>
        <v>0</v>
      </c>
      <c r="J156" s="145"/>
      <c r="K156" s="294"/>
      <c r="L156" s="294"/>
      <c r="M156" s="294"/>
      <c r="N156" s="79"/>
      <c r="O156" s="341"/>
      <c r="P156" s="341"/>
      <c r="Q156" s="463"/>
      <c r="R156" s="341"/>
      <c r="S156" s="341"/>
      <c r="T156" s="463"/>
      <c r="U156" s="146"/>
    </row>
    <row r="157" spans="1:21" ht="13" x14ac:dyDescent="0.3">
      <c r="A157" s="259"/>
      <c r="B157" s="220"/>
      <c r="C157" s="220"/>
      <c r="D157" s="220"/>
      <c r="E157" s="345"/>
      <c r="F157" s="345"/>
      <c r="G157" s="223"/>
      <c r="H157" s="105" t="s">
        <v>5</v>
      </c>
      <c r="I157" s="159">
        <f>A159+J160</f>
        <v>0</v>
      </c>
      <c r="J157" s="260"/>
      <c r="K157" s="296"/>
      <c r="L157" s="296"/>
      <c r="M157" s="296"/>
      <c r="N157" s="106" t="str">
        <f t="shared" ref="N157:N158" si="213">IF(OR(K160&gt;=M160, ISBLANK(K160)),"Pass","Fail")</f>
        <v>Pass</v>
      </c>
      <c r="O157" s="342"/>
      <c r="P157" s="342"/>
      <c r="Q157" s="464"/>
      <c r="R157" s="342"/>
      <c r="S157" s="342"/>
      <c r="T157" s="464"/>
      <c r="U157" s="146"/>
    </row>
    <row r="158" spans="1:21" ht="15" customHeight="1" thickBot="1" x14ac:dyDescent="0.35">
      <c r="A158" s="219"/>
      <c r="B158" s="221"/>
      <c r="C158" s="221"/>
      <c r="D158" s="221"/>
      <c r="E158" s="364"/>
      <c r="F158" s="364"/>
      <c r="G158" s="224"/>
      <c r="H158" s="107" t="s">
        <v>42</v>
      </c>
      <c r="I158" s="59">
        <f>A159+J161</f>
        <v>0</v>
      </c>
      <c r="J158" s="261"/>
      <c r="K158" s="304"/>
      <c r="L158" s="304"/>
      <c r="M158" s="304"/>
      <c r="N158" s="109" t="str">
        <f t="shared" si="213"/>
        <v>Pass</v>
      </c>
      <c r="O158" s="343"/>
      <c r="P158" s="343"/>
      <c r="Q158" s="465"/>
      <c r="R158" s="343"/>
      <c r="S158" s="343"/>
      <c r="T158" s="465"/>
      <c r="U158" s="257"/>
    </row>
    <row r="159" spans="1:21" ht="13.5" thickTop="1" x14ac:dyDescent="0.3">
      <c r="A159" s="358"/>
      <c r="B159" s="351"/>
      <c r="C159" s="265"/>
      <c r="D159" s="265"/>
      <c r="E159" s="351"/>
      <c r="F159" s="351"/>
      <c r="G159" s="361"/>
      <c r="H159" s="37" t="s">
        <v>4</v>
      </c>
      <c r="I159" s="62">
        <f>A162+J162</f>
        <v>0</v>
      </c>
      <c r="J159" s="37"/>
      <c r="K159" s="213"/>
      <c r="L159" s="213"/>
      <c r="M159" s="213"/>
      <c r="N159" s="93"/>
      <c r="O159" s="330"/>
      <c r="P159" s="330"/>
      <c r="Q159" s="461"/>
      <c r="R159" s="330"/>
      <c r="S159" s="330"/>
      <c r="T159" s="369"/>
      <c r="U159" s="40"/>
    </row>
    <row r="160" spans="1:21" ht="13" x14ac:dyDescent="0.3">
      <c r="A160" s="358"/>
      <c r="B160" s="351"/>
      <c r="C160" s="265"/>
      <c r="D160" s="265"/>
      <c r="E160" s="351"/>
      <c r="F160" s="351"/>
      <c r="G160" s="361"/>
      <c r="H160" s="101" t="s">
        <v>5</v>
      </c>
      <c r="I160" s="122">
        <f>A162+J163</f>
        <v>0</v>
      </c>
      <c r="J160" s="90"/>
      <c r="K160" s="198"/>
      <c r="L160" s="198"/>
      <c r="M160" s="198"/>
      <c r="N160" s="93" t="str">
        <f t="shared" ref="N160:N161" si="214">IF(OR(K163&gt;=M163, ISBLANK(K163)),"Pass","Fail")</f>
        <v>Pass</v>
      </c>
      <c r="O160" s="330"/>
      <c r="P160" s="330"/>
      <c r="Q160" s="369"/>
      <c r="R160" s="330"/>
      <c r="S160" s="330"/>
      <c r="T160" s="369"/>
      <c r="U160" s="92"/>
    </row>
    <row r="161" spans="1:21" ht="13.5" thickBot="1" x14ac:dyDescent="0.35">
      <c r="A161" s="359"/>
      <c r="B161" s="352"/>
      <c r="C161" s="266"/>
      <c r="D161" s="266"/>
      <c r="E161" s="352"/>
      <c r="F161" s="352"/>
      <c r="G161" s="362"/>
      <c r="H161" s="41" t="s">
        <v>42</v>
      </c>
      <c r="I161" s="122">
        <f>A162+J164</f>
        <v>0</v>
      </c>
      <c r="J161" s="50"/>
      <c r="K161" s="205"/>
      <c r="L161" s="205"/>
      <c r="M161" s="205"/>
      <c r="N161" s="81" t="str">
        <f t="shared" si="214"/>
        <v>Pass</v>
      </c>
      <c r="O161" s="331"/>
      <c r="P161" s="331"/>
      <c r="Q161" s="462"/>
      <c r="R161" s="331"/>
      <c r="S161" s="331"/>
      <c r="T161" s="462"/>
      <c r="U161" s="54"/>
    </row>
    <row r="162" spans="1:21" ht="13.5" thickTop="1" x14ac:dyDescent="0.3">
      <c r="A162" s="387"/>
      <c r="B162" s="345"/>
      <c r="C162" s="220"/>
      <c r="D162" s="220"/>
      <c r="E162" s="345"/>
      <c r="F162" s="345"/>
      <c r="G162" s="347"/>
      <c r="H162" s="27" t="s">
        <v>4</v>
      </c>
      <c r="I162" s="159">
        <f>A165+J165</f>
        <v>0</v>
      </c>
      <c r="J162" s="143"/>
      <c r="K162" s="293"/>
      <c r="L162" s="293"/>
      <c r="M162" s="293"/>
      <c r="N162" s="79"/>
      <c r="O162" s="342"/>
      <c r="P162" s="342"/>
      <c r="Q162" s="463"/>
      <c r="R162" s="342"/>
      <c r="S162" s="342"/>
      <c r="T162" s="464"/>
      <c r="U162" s="144"/>
    </row>
    <row r="163" spans="1:21" ht="13" x14ac:dyDescent="0.3">
      <c r="A163" s="387"/>
      <c r="B163" s="345"/>
      <c r="C163" s="220"/>
      <c r="D163" s="220"/>
      <c r="E163" s="345"/>
      <c r="F163" s="345"/>
      <c r="G163" s="347"/>
      <c r="H163" s="105" t="s">
        <v>5</v>
      </c>
      <c r="I163" s="159">
        <f>A165+J166</f>
        <v>0</v>
      </c>
      <c r="J163" s="260"/>
      <c r="K163" s="296"/>
      <c r="L163" s="296"/>
      <c r="M163" s="296"/>
      <c r="N163" s="106" t="str">
        <f t="shared" ref="N163:N164" si="215">IF(OR(K166&gt;=M166, ISBLANK(K166)),"Pass","Fail")</f>
        <v>Pass</v>
      </c>
      <c r="O163" s="342"/>
      <c r="P163" s="342"/>
      <c r="Q163" s="464"/>
      <c r="R163" s="342"/>
      <c r="S163" s="342"/>
      <c r="T163" s="464"/>
      <c r="U163" s="242"/>
    </row>
    <row r="164" spans="1:21" ht="13.5" thickBot="1" x14ac:dyDescent="0.35">
      <c r="A164" s="388"/>
      <c r="B164" s="364"/>
      <c r="C164" s="221"/>
      <c r="D164" s="221"/>
      <c r="E164" s="364"/>
      <c r="F164" s="364"/>
      <c r="G164" s="385"/>
      <c r="H164" s="107" t="s">
        <v>42</v>
      </c>
      <c r="I164" s="59">
        <f>A165+J167</f>
        <v>0</v>
      </c>
      <c r="J164" s="107"/>
      <c r="K164" s="301"/>
      <c r="L164" s="301"/>
      <c r="M164" s="301"/>
      <c r="N164" s="109" t="str">
        <f t="shared" si="215"/>
        <v>Pass</v>
      </c>
      <c r="O164" s="343"/>
      <c r="P164" s="343"/>
      <c r="Q164" s="465"/>
      <c r="R164" s="343"/>
      <c r="S164" s="343"/>
      <c r="T164" s="465"/>
      <c r="U164" s="147"/>
    </row>
    <row r="165" spans="1:21" ht="13.5" thickTop="1" x14ac:dyDescent="0.3">
      <c r="A165" s="358"/>
      <c r="B165" s="351"/>
      <c r="C165" s="265"/>
      <c r="D165" s="265"/>
      <c r="E165" s="351"/>
      <c r="F165" s="351"/>
      <c r="G165" s="360"/>
      <c r="H165" s="37" t="s">
        <v>4</v>
      </c>
      <c r="I165" s="62">
        <f>A168+J168</f>
        <v>0</v>
      </c>
      <c r="J165" s="37"/>
      <c r="K165" s="213"/>
      <c r="L165" s="213"/>
      <c r="M165" s="213"/>
      <c r="N165" s="93"/>
      <c r="O165" s="330"/>
      <c r="P165" s="330"/>
      <c r="Q165" s="461"/>
      <c r="R165" s="330"/>
      <c r="S165" s="330"/>
      <c r="T165" s="369"/>
      <c r="U165" s="40"/>
    </row>
    <row r="166" spans="1:21" ht="13" x14ac:dyDescent="0.3">
      <c r="A166" s="358"/>
      <c r="B166" s="351"/>
      <c r="C166" s="265"/>
      <c r="D166" s="265"/>
      <c r="E166" s="351"/>
      <c r="F166" s="351"/>
      <c r="G166" s="361"/>
      <c r="H166" s="101" t="s">
        <v>5</v>
      </c>
      <c r="I166" s="122">
        <f>A168+J169</f>
        <v>0</v>
      </c>
      <c r="J166" s="90"/>
      <c r="K166" s="198"/>
      <c r="L166" s="198"/>
      <c r="M166" s="198"/>
      <c r="N166" s="93" t="str">
        <f t="shared" ref="N166:N167" si="216">IF(OR(K169&gt;=M169, ISBLANK(K169)),"Pass","Fail")</f>
        <v>Pass</v>
      </c>
      <c r="O166" s="330"/>
      <c r="P166" s="330"/>
      <c r="Q166" s="369"/>
      <c r="R166" s="330"/>
      <c r="S166" s="330"/>
      <c r="T166" s="369"/>
      <c r="U166" s="92"/>
    </row>
    <row r="167" spans="1:21" ht="13.5" thickBot="1" x14ac:dyDescent="0.35">
      <c r="A167" s="358"/>
      <c r="B167" s="351"/>
      <c r="C167" s="265"/>
      <c r="D167" s="265"/>
      <c r="E167" s="351"/>
      <c r="F167" s="351"/>
      <c r="G167" s="361"/>
      <c r="H167" s="41" t="s">
        <v>42</v>
      </c>
      <c r="I167" s="122">
        <f>A168+J170</f>
        <v>0</v>
      </c>
      <c r="J167" s="90"/>
      <c r="K167" s="198"/>
      <c r="L167" s="198"/>
      <c r="M167" s="198"/>
      <c r="N167" s="81" t="str">
        <f t="shared" si="216"/>
        <v>Pass</v>
      </c>
      <c r="O167" s="330"/>
      <c r="P167" s="330"/>
      <c r="Q167" s="462"/>
      <c r="R167" s="330"/>
      <c r="S167" s="330"/>
      <c r="T167" s="369"/>
      <c r="U167" s="92"/>
    </row>
    <row r="168" spans="1:21" ht="13.5" thickTop="1" x14ac:dyDescent="0.3">
      <c r="A168" s="363"/>
      <c r="B168" s="417"/>
      <c r="C168" s="417"/>
      <c r="D168" s="417"/>
      <c r="E168" s="417"/>
      <c r="F168" s="417"/>
      <c r="G168" s="418"/>
      <c r="H168" s="27" t="s">
        <v>4</v>
      </c>
      <c r="I168" s="159">
        <f>A171+J171</f>
        <v>0</v>
      </c>
      <c r="J168" s="17"/>
      <c r="K168" s="200"/>
      <c r="L168" s="200"/>
      <c r="M168" s="200"/>
      <c r="N168" s="79"/>
      <c r="O168" s="335"/>
      <c r="P168" s="335"/>
      <c r="Q168" s="460"/>
      <c r="R168" s="341"/>
      <c r="S168" s="341"/>
      <c r="T168" s="460"/>
      <c r="U168" s="58"/>
    </row>
    <row r="169" spans="1:21" ht="14.5" customHeight="1" x14ac:dyDescent="0.3">
      <c r="A169" s="353"/>
      <c r="B169" s="355"/>
      <c r="C169" s="355"/>
      <c r="D169" s="355"/>
      <c r="E169" s="355"/>
      <c r="F169" s="355"/>
      <c r="G169" s="393"/>
      <c r="H169" s="105" t="s">
        <v>5</v>
      </c>
      <c r="I169" s="159">
        <f>A171+J172</f>
        <v>0</v>
      </c>
      <c r="J169" s="27"/>
      <c r="K169" s="195"/>
      <c r="L169" s="195"/>
      <c r="M169" s="195"/>
      <c r="N169" s="106" t="str">
        <f t="shared" ref="N169:N170" si="217">IF(OR(K172&gt;=M172, ISBLANK(K172)),"Pass","Fail")</f>
        <v>Pass</v>
      </c>
      <c r="O169" s="336"/>
      <c r="P169" s="336"/>
      <c r="Q169" s="383"/>
      <c r="R169" s="342"/>
      <c r="S169" s="342"/>
      <c r="T169" s="383"/>
      <c r="U169" s="30"/>
    </row>
    <row r="170" spans="1:21" ht="14.5" customHeight="1" thickBot="1" x14ac:dyDescent="0.35">
      <c r="A170" s="353"/>
      <c r="B170" s="355"/>
      <c r="C170" s="355"/>
      <c r="D170" s="355"/>
      <c r="E170" s="355"/>
      <c r="F170" s="355"/>
      <c r="G170" s="393"/>
      <c r="H170" s="107" t="s">
        <v>42</v>
      </c>
      <c r="I170" s="59">
        <f>A171+J173</f>
        <v>0</v>
      </c>
      <c r="J170" s="27"/>
      <c r="K170" s="195"/>
      <c r="L170" s="195"/>
      <c r="M170" s="195"/>
      <c r="N170" s="109" t="str">
        <f t="shared" si="217"/>
        <v>Pass</v>
      </c>
      <c r="O170" s="336"/>
      <c r="P170" s="336"/>
      <c r="Q170" s="384"/>
      <c r="R170" s="342"/>
      <c r="S170" s="342"/>
      <c r="T170" s="383"/>
      <c r="U170" s="30"/>
    </row>
    <row r="171" spans="1:21" ht="13.5" thickTop="1" x14ac:dyDescent="0.3">
      <c r="A171" s="357"/>
      <c r="B171" s="350"/>
      <c r="C171" s="267"/>
      <c r="D171" s="267"/>
      <c r="E171" s="350"/>
      <c r="F171" s="350"/>
      <c r="G171" s="360"/>
      <c r="H171" s="37" t="s">
        <v>4</v>
      </c>
      <c r="I171" s="62">
        <f>A174+J174</f>
        <v>0</v>
      </c>
      <c r="J171" s="45"/>
      <c r="K171" s="207"/>
      <c r="L171" s="207"/>
      <c r="M171" s="207"/>
      <c r="N171" s="93"/>
      <c r="O171" s="366"/>
      <c r="P171" s="366"/>
      <c r="Q171" s="379"/>
      <c r="R171" s="329"/>
      <c r="S171" s="329"/>
      <c r="T171" s="379"/>
      <c r="U171" s="49"/>
    </row>
    <row r="172" spans="1:21" ht="14.5" customHeight="1" x14ac:dyDescent="0.3">
      <c r="A172" s="358"/>
      <c r="B172" s="351"/>
      <c r="C172" s="265"/>
      <c r="D172" s="265"/>
      <c r="E172" s="351"/>
      <c r="F172" s="351"/>
      <c r="G172" s="361"/>
      <c r="H172" s="101" t="s">
        <v>5</v>
      </c>
      <c r="I172" s="122">
        <f>A174+J175</f>
        <v>0</v>
      </c>
      <c r="J172" s="90"/>
      <c r="K172" s="198"/>
      <c r="L172" s="198"/>
      <c r="M172" s="198"/>
      <c r="N172" s="93" t="str">
        <f t="shared" ref="N172:N173" si="218">IF(OR(K175&gt;=M175, ISBLANK(K175)),"Pass","Fail")</f>
        <v>Pass</v>
      </c>
      <c r="O172" s="367"/>
      <c r="P172" s="367"/>
      <c r="Q172" s="333"/>
      <c r="R172" s="330"/>
      <c r="S172" s="330"/>
      <c r="T172" s="333"/>
      <c r="U172" s="92"/>
    </row>
    <row r="173" spans="1:21" ht="14.5" customHeight="1" thickBot="1" x14ac:dyDescent="0.35">
      <c r="A173" s="358"/>
      <c r="B173" s="351"/>
      <c r="C173" s="265"/>
      <c r="D173" s="265"/>
      <c r="E173" s="351"/>
      <c r="F173" s="351"/>
      <c r="G173" s="361"/>
      <c r="H173" s="41" t="s">
        <v>42</v>
      </c>
      <c r="I173" s="122">
        <f>A174+J176</f>
        <v>0</v>
      </c>
      <c r="J173" s="90"/>
      <c r="K173" s="198"/>
      <c r="L173" s="198"/>
      <c r="M173" s="198"/>
      <c r="N173" s="81" t="str">
        <f t="shared" si="218"/>
        <v>Pass</v>
      </c>
      <c r="O173" s="367"/>
      <c r="P173" s="367"/>
      <c r="Q173" s="334"/>
      <c r="R173" s="330"/>
      <c r="S173" s="330"/>
      <c r="T173" s="333"/>
      <c r="U173" s="92"/>
    </row>
    <row r="174" spans="1:21" ht="13.5" thickTop="1" x14ac:dyDescent="0.3">
      <c r="A174" s="363"/>
      <c r="B174" s="417"/>
      <c r="C174" s="417"/>
      <c r="D174" s="417"/>
      <c r="E174" s="417"/>
      <c r="F174" s="417"/>
      <c r="G174" s="418"/>
      <c r="H174" s="27" t="s">
        <v>4</v>
      </c>
      <c r="I174" s="159">
        <f>A177+J177</f>
        <v>0</v>
      </c>
      <c r="J174" s="17"/>
      <c r="K174" s="200"/>
      <c r="L174" s="200"/>
      <c r="M174" s="200"/>
      <c r="N174" s="79"/>
      <c r="O174" s="335"/>
      <c r="P174" s="335"/>
      <c r="Q174" s="460"/>
      <c r="R174" s="341"/>
      <c r="S174" s="341"/>
      <c r="T174" s="460"/>
      <c r="U174" s="58"/>
    </row>
    <row r="175" spans="1:21" ht="14.5" customHeight="1" x14ac:dyDescent="0.3">
      <c r="A175" s="353"/>
      <c r="B175" s="355"/>
      <c r="C175" s="355"/>
      <c r="D175" s="355"/>
      <c r="E175" s="355"/>
      <c r="F175" s="355"/>
      <c r="G175" s="393"/>
      <c r="H175" s="105" t="s">
        <v>5</v>
      </c>
      <c r="I175" s="159">
        <f>A177+J178</f>
        <v>0</v>
      </c>
      <c r="J175" s="27"/>
      <c r="K175" s="195"/>
      <c r="L175" s="195"/>
      <c r="M175" s="195"/>
      <c r="N175" s="106" t="str">
        <f t="shared" ref="N175:N176" si="219">IF(OR(K178&gt;=M178, ISBLANK(K178)),"Pass","Fail")</f>
        <v>Pass</v>
      </c>
      <c r="O175" s="336"/>
      <c r="P175" s="336"/>
      <c r="Q175" s="383"/>
      <c r="R175" s="342"/>
      <c r="S175" s="342"/>
      <c r="T175" s="383"/>
      <c r="U175" s="30"/>
    </row>
    <row r="176" spans="1:21" ht="14.5" customHeight="1" thickBot="1" x14ac:dyDescent="0.35">
      <c r="A176" s="353"/>
      <c r="B176" s="355"/>
      <c r="C176" s="355"/>
      <c r="D176" s="355"/>
      <c r="E176" s="355"/>
      <c r="F176" s="355"/>
      <c r="G176" s="393"/>
      <c r="H176" s="107" t="s">
        <v>42</v>
      </c>
      <c r="I176" s="59">
        <f>A177+J179</f>
        <v>0</v>
      </c>
      <c r="J176" s="27"/>
      <c r="K176" s="195"/>
      <c r="L176" s="195"/>
      <c r="M176" s="195"/>
      <c r="N176" s="109" t="str">
        <f t="shared" si="219"/>
        <v>Pass</v>
      </c>
      <c r="O176" s="336"/>
      <c r="P176" s="336"/>
      <c r="Q176" s="384"/>
      <c r="R176" s="342"/>
      <c r="S176" s="342"/>
      <c r="T176" s="383"/>
      <c r="U176" s="30"/>
    </row>
    <row r="177" spans="1:21" ht="15" customHeight="1" thickTop="1" x14ac:dyDescent="0.3">
      <c r="A177" s="357"/>
      <c r="B177" s="350"/>
      <c r="C177" s="267"/>
      <c r="D177" s="267"/>
      <c r="E177" s="350"/>
      <c r="F177" s="350"/>
      <c r="G177" s="360"/>
      <c r="H177" s="37" t="s">
        <v>4</v>
      </c>
      <c r="I177" s="62">
        <f>A180+J180</f>
        <v>0</v>
      </c>
      <c r="J177" s="45"/>
      <c r="K177" s="207"/>
      <c r="L177" s="207"/>
      <c r="M177" s="207"/>
      <c r="N177" s="93"/>
      <c r="O177" s="366"/>
      <c r="P177" s="366"/>
      <c r="Q177" s="379"/>
      <c r="R177" s="329"/>
      <c r="S177" s="329"/>
      <c r="T177" s="379"/>
      <c r="U177" s="49"/>
    </row>
    <row r="178" spans="1:21" ht="15" customHeight="1" x14ac:dyDescent="0.3">
      <c r="A178" s="358"/>
      <c r="B178" s="351"/>
      <c r="C178" s="265"/>
      <c r="D178" s="265"/>
      <c r="E178" s="351"/>
      <c r="F178" s="351"/>
      <c r="G178" s="361"/>
      <c r="H178" s="101" t="s">
        <v>5</v>
      </c>
      <c r="I178" s="122">
        <f>A180+J181</f>
        <v>0</v>
      </c>
      <c r="J178" s="90"/>
      <c r="K178" s="198"/>
      <c r="L178" s="198"/>
      <c r="M178" s="198"/>
      <c r="N178" s="93" t="str">
        <f t="shared" ref="N178:N179" si="220">IF(OR(K181&gt;=M181, ISBLANK(K181)),"Pass","Fail")</f>
        <v>Pass</v>
      </c>
      <c r="O178" s="367"/>
      <c r="P178" s="367"/>
      <c r="Q178" s="333"/>
      <c r="R178" s="330"/>
      <c r="S178" s="330"/>
      <c r="T178" s="333"/>
      <c r="U178" s="92"/>
    </row>
    <row r="179" spans="1:21" ht="15" customHeight="1" thickBot="1" x14ac:dyDescent="0.35">
      <c r="A179" s="358"/>
      <c r="B179" s="351"/>
      <c r="C179" s="265"/>
      <c r="D179" s="265"/>
      <c r="E179" s="351"/>
      <c r="F179" s="351"/>
      <c r="G179" s="361"/>
      <c r="H179" s="41" t="s">
        <v>42</v>
      </c>
      <c r="I179" s="122">
        <f>A180+J182</f>
        <v>0</v>
      </c>
      <c r="J179" s="90"/>
      <c r="K179" s="198"/>
      <c r="L179" s="318"/>
      <c r="M179" s="198"/>
      <c r="N179" s="81" t="str">
        <f t="shared" si="220"/>
        <v>Pass</v>
      </c>
      <c r="O179" s="367"/>
      <c r="P179" s="367"/>
      <c r="Q179" s="334"/>
      <c r="R179" s="330"/>
      <c r="S179" s="330"/>
      <c r="T179" s="333"/>
      <c r="U179" s="92"/>
    </row>
    <row r="180" spans="1:21" ht="15" customHeight="1" thickTop="1" x14ac:dyDescent="0.3">
      <c r="A180" s="363"/>
      <c r="B180" s="417"/>
      <c r="C180" s="417"/>
      <c r="D180" s="417"/>
      <c r="E180" s="417"/>
      <c r="F180" s="417"/>
      <c r="G180" s="418"/>
      <c r="H180" s="27" t="s">
        <v>4</v>
      </c>
      <c r="I180" s="159">
        <f>A183+J183</f>
        <v>0</v>
      </c>
      <c r="J180" s="17"/>
      <c r="K180" s="200"/>
      <c r="L180" s="200"/>
      <c r="M180" s="200"/>
      <c r="N180" s="79"/>
      <c r="O180" s="335"/>
      <c r="P180" s="335"/>
      <c r="Q180" s="460"/>
      <c r="R180" s="341"/>
      <c r="S180" s="341"/>
      <c r="T180" s="460"/>
      <c r="U180" s="58"/>
    </row>
    <row r="181" spans="1:21" ht="15" customHeight="1" x14ac:dyDescent="0.3">
      <c r="A181" s="353"/>
      <c r="B181" s="355"/>
      <c r="C181" s="355"/>
      <c r="D181" s="355"/>
      <c r="E181" s="355"/>
      <c r="F181" s="355"/>
      <c r="G181" s="393"/>
      <c r="H181" s="105" t="s">
        <v>5</v>
      </c>
      <c r="I181" s="159">
        <f>A183+J184</f>
        <v>0</v>
      </c>
      <c r="J181" s="27"/>
      <c r="K181" s="195"/>
      <c r="L181" s="195"/>
      <c r="M181" s="195"/>
      <c r="N181" s="106" t="str">
        <f t="shared" ref="N181:N182" si="221">IF(OR(K184&gt;=M184, ISBLANK(K184)),"Pass","Fail")</f>
        <v>Pass</v>
      </c>
      <c r="O181" s="336"/>
      <c r="P181" s="336"/>
      <c r="Q181" s="383"/>
      <c r="R181" s="342"/>
      <c r="S181" s="342"/>
      <c r="T181" s="383"/>
      <c r="U181" s="30"/>
    </row>
    <row r="182" spans="1:21" ht="15" customHeight="1" thickBot="1" x14ac:dyDescent="0.35">
      <c r="A182" s="354"/>
      <c r="B182" s="356"/>
      <c r="C182" s="356"/>
      <c r="D182" s="356"/>
      <c r="E182" s="356"/>
      <c r="F182" s="356"/>
      <c r="G182" s="394"/>
      <c r="H182" s="107" t="s">
        <v>42</v>
      </c>
      <c r="I182" s="59">
        <f>A183+J185</f>
        <v>0</v>
      </c>
      <c r="J182" s="12"/>
      <c r="K182" s="196"/>
      <c r="L182" s="196"/>
      <c r="M182" s="196"/>
      <c r="N182" s="109" t="str">
        <f t="shared" si="221"/>
        <v>Pass</v>
      </c>
      <c r="O182" s="337"/>
      <c r="P182" s="337"/>
      <c r="Q182" s="384"/>
      <c r="R182" s="343"/>
      <c r="S182" s="343"/>
      <c r="T182" s="384"/>
      <c r="U182" s="14"/>
    </row>
    <row r="183" spans="1:21" ht="13.5" thickTop="1" x14ac:dyDescent="0.3">
      <c r="A183" s="358"/>
      <c r="B183" s="351"/>
      <c r="C183" s="265"/>
      <c r="D183" s="265"/>
      <c r="E183" s="351"/>
      <c r="F183" s="351"/>
      <c r="G183" s="361"/>
      <c r="H183" s="37" t="s">
        <v>4</v>
      </c>
      <c r="I183" s="62">
        <f>A186+J186</f>
        <v>0</v>
      </c>
      <c r="J183" s="37"/>
      <c r="K183" s="213"/>
      <c r="L183" s="213"/>
      <c r="M183" s="213"/>
      <c r="N183" s="93"/>
      <c r="O183" s="330"/>
      <c r="P183" s="330"/>
      <c r="Q183" s="461"/>
      <c r="R183" s="369"/>
      <c r="S183" s="369"/>
      <c r="T183" s="369"/>
      <c r="U183" s="40"/>
    </row>
    <row r="184" spans="1:21" ht="15" customHeight="1" x14ac:dyDescent="0.3">
      <c r="A184" s="358"/>
      <c r="B184" s="351"/>
      <c r="C184" s="265"/>
      <c r="D184" s="265"/>
      <c r="E184" s="351"/>
      <c r="F184" s="351"/>
      <c r="G184" s="361"/>
      <c r="H184" s="101" t="s">
        <v>5</v>
      </c>
      <c r="I184" s="122">
        <f>A186+J187</f>
        <v>0</v>
      </c>
      <c r="J184" s="90"/>
      <c r="K184" s="198"/>
      <c r="L184" s="198"/>
      <c r="M184" s="198"/>
      <c r="N184" s="93" t="str">
        <f t="shared" ref="N184:N185" si="222">IF(OR(K187&gt;=M187, ISBLANK(K187)),"Pass","Fail")</f>
        <v>Pass</v>
      </c>
      <c r="O184" s="330"/>
      <c r="P184" s="330"/>
      <c r="Q184" s="369"/>
      <c r="R184" s="369"/>
      <c r="S184" s="369"/>
      <c r="T184" s="369"/>
      <c r="U184" s="92"/>
    </row>
    <row r="185" spans="1:21" ht="15" customHeight="1" thickBot="1" x14ac:dyDescent="0.35">
      <c r="A185" s="358"/>
      <c r="B185" s="351"/>
      <c r="C185" s="265"/>
      <c r="D185" s="265"/>
      <c r="E185" s="351"/>
      <c r="F185" s="351"/>
      <c r="G185" s="361"/>
      <c r="H185" s="41" t="s">
        <v>42</v>
      </c>
      <c r="I185" s="122">
        <f>A186+J188</f>
        <v>0</v>
      </c>
      <c r="J185" s="90"/>
      <c r="K185" s="198"/>
      <c r="L185" s="198"/>
      <c r="M185" s="198"/>
      <c r="N185" s="81" t="str">
        <f t="shared" si="222"/>
        <v>Pass</v>
      </c>
      <c r="O185" s="330"/>
      <c r="P185" s="330"/>
      <c r="Q185" s="462"/>
      <c r="R185" s="369"/>
      <c r="S185" s="369"/>
      <c r="T185" s="369"/>
      <c r="U185" s="92"/>
    </row>
    <row r="186" spans="1:21" ht="15" customHeight="1" thickTop="1" x14ac:dyDescent="0.3">
      <c r="A186" s="363"/>
      <c r="B186" s="417"/>
      <c r="C186" s="417"/>
      <c r="D186" s="417"/>
      <c r="E186" s="417"/>
      <c r="F186" s="417"/>
      <c r="G186" s="418"/>
      <c r="H186" s="27" t="s">
        <v>4</v>
      </c>
      <c r="I186" s="159">
        <f>A189+J189</f>
        <v>0</v>
      </c>
      <c r="J186" s="17"/>
      <c r="K186" s="200"/>
      <c r="L186" s="200"/>
      <c r="M186" s="200"/>
      <c r="N186" s="79"/>
      <c r="O186" s="335"/>
      <c r="P186" s="335"/>
      <c r="Q186" s="460"/>
      <c r="R186" s="341"/>
      <c r="S186" s="341"/>
      <c r="T186" s="460"/>
      <c r="U186" s="58"/>
    </row>
    <row r="187" spans="1:21" ht="15" customHeight="1" x14ac:dyDescent="0.3">
      <c r="A187" s="353"/>
      <c r="B187" s="355"/>
      <c r="C187" s="355"/>
      <c r="D187" s="355"/>
      <c r="E187" s="355"/>
      <c r="F187" s="355"/>
      <c r="G187" s="393"/>
      <c r="H187" s="105" t="s">
        <v>5</v>
      </c>
      <c r="I187" s="159">
        <f>A189+J190</f>
        <v>0</v>
      </c>
      <c r="J187" s="27"/>
      <c r="K187" s="195"/>
      <c r="L187" s="195"/>
      <c r="M187" s="195"/>
      <c r="N187" s="106" t="str">
        <f t="shared" ref="N187:N188" si="223">IF(OR(K190&gt;=M190, ISBLANK(K190)),"Pass","Fail")</f>
        <v>Pass</v>
      </c>
      <c r="O187" s="336"/>
      <c r="P187" s="336"/>
      <c r="Q187" s="383"/>
      <c r="R187" s="342"/>
      <c r="S187" s="342"/>
      <c r="T187" s="383"/>
      <c r="U187" s="30"/>
    </row>
    <row r="188" spans="1:21" ht="15" customHeight="1" thickBot="1" x14ac:dyDescent="0.35">
      <c r="A188" s="354"/>
      <c r="B188" s="356"/>
      <c r="C188" s="356"/>
      <c r="D188" s="356"/>
      <c r="E188" s="356"/>
      <c r="F188" s="356"/>
      <c r="G188" s="394"/>
      <c r="H188" s="107" t="s">
        <v>42</v>
      </c>
      <c r="I188" s="59">
        <f>A189+J191</f>
        <v>0</v>
      </c>
      <c r="J188" s="12"/>
      <c r="K188" s="196"/>
      <c r="L188" s="196"/>
      <c r="M188" s="196"/>
      <c r="N188" s="109" t="str">
        <f t="shared" si="223"/>
        <v>Pass</v>
      </c>
      <c r="O188" s="337"/>
      <c r="P188" s="337"/>
      <c r="Q188" s="384"/>
      <c r="R188" s="343"/>
      <c r="S188" s="343"/>
      <c r="T188" s="384"/>
      <c r="U188" s="14"/>
    </row>
    <row r="189" spans="1:21" ht="13.5" thickTop="1" x14ac:dyDescent="0.3">
      <c r="A189" s="358"/>
      <c r="B189" s="351"/>
      <c r="C189" s="265"/>
      <c r="D189" s="265"/>
      <c r="E189" s="351"/>
      <c r="F189" s="351"/>
      <c r="G189" s="361"/>
      <c r="H189" s="37" t="s">
        <v>4</v>
      </c>
      <c r="I189" s="62">
        <f>A192+J192</f>
        <v>0</v>
      </c>
      <c r="J189" s="45"/>
      <c r="K189" s="207"/>
      <c r="L189" s="207"/>
      <c r="M189" s="207"/>
      <c r="N189" s="93"/>
      <c r="O189" s="329"/>
      <c r="P189" s="329"/>
      <c r="Q189" s="461"/>
      <c r="R189" s="329"/>
      <c r="S189" s="329"/>
      <c r="T189" s="461"/>
      <c r="U189" s="49"/>
    </row>
    <row r="190" spans="1:21" ht="14.5" customHeight="1" x14ac:dyDescent="0.3">
      <c r="A190" s="358"/>
      <c r="B190" s="351"/>
      <c r="C190" s="265"/>
      <c r="D190" s="265"/>
      <c r="E190" s="351"/>
      <c r="F190" s="351"/>
      <c r="G190" s="361"/>
      <c r="H190" s="101" t="s">
        <v>5</v>
      </c>
      <c r="I190" s="122">
        <f>A192+J193</f>
        <v>0</v>
      </c>
      <c r="J190" s="90"/>
      <c r="K190" s="198"/>
      <c r="L190" s="198"/>
      <c r="M190" s="198"/>
      <c r="N190" s="93" t="str">
        <f t="shared" ref="N190:N191" si="224">IF(OR(K193&gt;=M193, ISBLANK(K193)),"Pass","Fail")</f>
        <v>Pass</v>
      </c>
      <c r="O190" s="330"/>
      <c r="P190" s="330"/>
      <c r="Q190" s="369"/>
      <c r="R190" s="330"/>
      <c r="S190" s="330"/>
      <c r="T190" s="369"/>
      <c r="U190" s="92"/>
    </row>
    <row r="191" spans="1:21" ht="15" customHeight="1" thickBot="1" x14ac:dyDescent="0.35">
      <c r="A191" s="358"/>
      <c r="B191" s="351"/>
      <c r="C191" s="265"/>
      <c r="D191" s="265"/>
      <c r="E191" s="351"/>
      <c r="F191" s="351"/>
      <c r="G191" s="361"/>
      <c r="H191" s="41" t="s">
        <v>42</v>
      </c>
      <c r="I191" s="122">
        <f>A192+J194</f>
        <v>0</v>
      </c>
      <c r="J191" s="90"/>
      <c r="K191" s="198"/>
      <c r="L191" s="198"/>
      <c r="M191" s="198"/>
      <c r="N191" s="81" t="str">
        <f t="shared" si="224"/>
        <v>Pass</v>
      </c>
      <c r="O191" s="330"/>
      <c r="P191" s="330"/>
      <c r="Q191" s="462"/>
      <c r="R191" s="330"/>
      <c r="S191" s="330"/>
      <c r="T191" s="369"/>
      <c r="U191" s="92"/>
    </row>
    <row r="192" spans="1:21" ht="16" customHeight="1" thickTop="1" x14ac:dyDescent="0.3">
      <c r="A192" s="386"/>
      <c r="B192" s="344"/>
      <c r="C192" s="268"/>
      <c r="D192" s="268"/>
      <c r="E192" s="344"/>
      <c r="F192" s="344"/>
      <c r="G192" s="346"/>
      <c r="I192" s="276"/>
      <c r="J192" s="276"/>
      <c r="K192" s="305"/>
      <c r="L192" s="305"/>
      <c r="M192" s="305"/>
      <c r="N192" s="255"/>
      <c r="O192" s="341"/>
      <c r="P192" s="341"/>
      <c r="Q192" s="463"/>
      <c r="R192" s="341"/>
      <c r="S192" s="341"/>
      <c r="T192" s="463"/>
      <c r="U192" s="249"/>
    </row>
    <row r="193" spans="1:21" ht="16" customHeight="1" x14ac:dyDescent="0.3">
      <c r="A193" s="387"/>
      <c r="B193" s="345"/>
      <c r="C193" s="220"/>
      <c r="D193" s="220"/>
      <c r="E193" s="345"/>
      <c r="F193" s="345"/>
      <c r="G193" s="347"/>
      <c r="I193" s="184"/>
      <c r="J193" s="184"/>
      <c r="K193" s="296"/>
      <c r="L193" s="296"/>
      <c r="M193" s="296"/>
      <c r="N193" s="194"/>
      <c r="O193" s="342"/>
      <c r="P193" s="342"/>
      <c r="Q193" s="464"/>
      <c r="R193" s="342"/>
      <c r="S193" s="342"/>
      <c r="T193" s="464"/>
      <c r="U193" s="242"/>
    </row>
    <row r="194" spans="1:21" ht="17" customHeight="1" thickBot="1" x14ac:dyDescent="0.35">
      <c r="A194" s="388"/>
      <c r="B194" s="364"/>
      <c r="C194" s="221"/>
      <c r="D194" s="221"/>
      <c r="E194" s="364"/>
      <c r="F194" s="364"/>
      <c r="G194" s="385"/>
      <c r="I194" s="233"/>
      <c r="J194" s="233"/>
      <c r="K194" s="301"/>
      <c r="L194" s="301"/>
      <c r="M194" s="301"/>
      <c r="N194" s="108"/>
      <c r="O194" s="343"/>
      <c r="P194" s="343"/>
      <c r="Q194" s="465"/>
      <c r="R194" s="343"/>
      <c r="S194" s="343"/>
      <c r="T194" s="465"/>
      <c r="U194" s="147"/>
    </row>
    <row r="195" spans="1:21" ht="11" thickTop="1" x14ac:dyDescent="0.25"/>
  </sheetData>
  <autoFilter ref="A2:AU194" xr:uid="{00000000-0001-0000-0000-000000000000}"/>
  <mergeCells count="739">
    <mergeCell ref="S186:S188"/>
    <mergeCell ref="T186:T188"/>
    <mergeCell ref="P192:P194"/>
    <mergeCell ref="Q192:Q194"/>
    <mergeCell ref="R192:R194"/>
    <mergeCell ref="S192:S194"/>
    <mergeCell ref="T192:T194"/>
    <mergeCell ref="A192:A194"/>
    <mergeCell ref="B192:B194"/>
    <mergeCell ref="E192:E194"/>
    <mergeCell ref="F192:F194"/>
    <mergeCell ref="G192:G194"/>
    <mergeCell ref="O192:O194"/>
    <mergeCell ref="A189:A191"/>
    <mergeCell ref="B189:B191"/>
    <mergeCell ref="E189:E191"/>
    <mergeCell ref="F189:F191"/>
    <mergeCell ref="G189:G191"/>
    <mergeCell ref="S183:S185"/>
    <mergeCell ref="T183:T185"/>
    <mergeCell ref="A186:A188"/>
    <mergeCell ref="B186:B188"/>
    <mergeCell ref="C186:C188"/>
    <mergeCell ref="D186:D188"/>
    <mergeCell ref="E186:E188"/>
    <mergeCell ref="F186:F188"/>
    <mergeCell ref="G186:G188"/>
    <mergeCell ref="O186:O188"/>
    <mergeCell ref="O189:O191"/>
    <mergeCell ref="P189:P191"/>
    <mergeCell ref="Q189:Q191"/>
    <mergeCell ref="R189:R191"/>
    <mergeCell ref="S189:S191"/>
    <mergeCell ref="T189:T191"/>
    <mergeCell ref="P186:P188"/>
    <mergeCell ref="Q186:Q188"/>
    <mergeCell ref="R186:R188"/>
    <mergeCell ref="S174:S176"/>
    <mergeCell ref="T174:T176"/>
    <mergeCell ref="T180:T182"/>
    <mergeCell ref="A183:A185"/>
    <mergeCell ref="B183:B185"/>
    <mergeCell ref="E183:E185"/>
    <mergeCell ref="F183:F185"/>
    <mergeCell ref="G183:G185"/>
    <mergeCell ref="O183:O185"/>
    <mergeCell ref="P183:P185"/>
    <mergeCell ref="Q183:Q185"/>
    <mergeCell ref="R183:R185"/>
    <mergeCell ref="G180:G182"/>
    <mergeCell ref="O180:O182"/>
    <mergeCell ref="P180:P182"/>
    <mergeCell ref="Q180:Q182"/>
    <mergeCell ref="R180:R182"/>
    <mergeCell ref="S180:S182"/>
    <mergeCell ref="A180:A182"/>
    <mergeCell ref="B180:B182"/>
    <mergeCell ref="C180:C182"/>
    <mergeCell ref="D180:D182"/>
    <mergeCell ref="E180:E182"/>
    <mergeCell ref="F180:F182"/>
    <mergeCell ref="A177:A179"/>
    <mergeCell ref="B177:B179"/>
    <mergeCell ref="E177:E179"/>
    <mergeCell ref="F177:F179"/>
    <mergeCell ref="G177:G179"/>
    <mergeCell ref="S171:S173"/>
    <mergeCell ref="T171:T173"/>
    <mergeCell ref="A174:A176"/>
    <mergeCell ref="B174:B176"/>
    <mergeCell ref="C174:C176"/>
    <mergeCell ref="D174:D176"/>
    <mergeCell ref="E174:E176"/>
    <mergeCell ref="F174:F176"/>
    <mergeCell ref="G174:G176"/>
    <mergeCell ref="O174:O176"/>
    <mergeCell ref="O177:O179"/>
    <mergeCell ref="P177:P179"/>
    <mergeCell ref="Q177:Q179"/>
    <mergeCell ref="R177:R179"/>
    <mergeCell ref="S177:S179"/>
    <mergeCell ref="T177:T179"/>
    <mergeCell ref="P174:P176"/>
    <mergeCell ref="Q174:Q176"/>
    <mergeCell ref="R174:R176"/>
    <mergeCell ref="T168:T170"/>
    <mergeCell ref="A171:A173"/>
    <mergeCell ref="B171:B173"/>
    <mergeCell ref="E171:E173"/>
    <mergeCell ref="F171:F173"/>
    <mergeCell ref="G171:G173"/>
    <mergeCell ref="O171:O173"/>
    <mergeCell ref="P171:P173"/>
    <mergeCell ref="Q171:Q173"/>
    <mergeCell ref="R171:R173"/>
    <mergeCell ref="G168:G170"/>
    <mergeCell ref="O168:O170"/>
    <mergeCell ref="P168:P170"/>
    <mergeCell ref="Q168:Q170"/>
    <mergeCell ref="R168:R170"/>
    <mergeCell ref="S168:S170"/>
    <mergeCell ref="A168:A170"/>
    <mergeCell ref="B168:B170"/>
    <mergeCell ref="C168:C170"/>
    <mergeCell ref="D168:D170"/>
    <mergeCell ref="E168:E170"/>
    <mergeCell ref="F168:F170"/>
    <mergeCell ref="Q165:Q167"/>
    <mergeCell ref="R165:R167"/>
    <mergeCell ref="S165:S167"/>
    <mergeCell ref="T165:T167"/>
    <mergeCell ref="P162:P164"/>
    <mergeCell ref="Q162:Q164"/>
    <mergeCell ref="R162:R164"/>
    <mergeCell ref="S162:S164"/>
    <mergeCell ref="T162:T164"/>
    <mergeCell ref="Q159:Q161"/>
    <mergeCell ref="R159:R161"/>
    <mergeCell ref="S159:S161"/>
    <mergeCell ref="T159:T161"/>
    <mergeCell ref="A162:A164"/>
    <mergeCell ref="B162:B164"/>
    <mergeCell ref="E162:E164"/>
    <mergeCell ref="F162:F164"/>
    <mergeCell ref="G162:G164"/>
    <mergeCell ref="O162:O164"/>
    <mergeCell ref="A159:A161"/>
    <mergeCell ref="B159:B161"/>
    <mergeCell ref="E159:E161"/>
    <mergeCell ref="F159:F161"/>
    <mergeCell ref="G159:G161"/>
    <mergeCell ref="O159:O161"/>
    <mergeCell ref="P159:P161"/>
    <mergeCell ref="A165:A167"/>
    <mergeCell ref="B165:B167"/>
    <mergeCell ref="E165:E167"/>
    <mergeCell ref="F165:F167"/>
    <mergeCell ref="G165:G167"/>
    <mergeCell ref="O165:O167"/>
    <mergeCell ref="P165:P167"/>
    <mergeCell ref="R153:R155"/>
    <mergeCell ref="S153:S155"/>
    <mergeCell ref="T153:T155"/>
    <mergeCell ref="E156:E158"/>
    <mergeCell ref="F156:F158"/>
    <mergeCell ref="O156:O158"/>
    <mergeCell ref="P156:P158"/>
    <mergeCell ref="Q156:Q158"/>
    <mergeCell ref="R156:R158"/>
    <mergeCell ref="S156:S158"/>
    <mergeCell ref="T156:T158"/>
    <mergeCell ref="A153:A155"/>
    <mergeCell ref="B153:B155"/>
    <mergeCell ref="E153:E155"/>
    <mergeCell ref="F153:F155"/>
    <mergeCell ref="G153:G155"/>
    <mergeCell ref="O153:O155"/>
    <mergeCell ref="O150:O152"/>
    <mergeCell ref="P150:P152"/>
    <mergeCell ref="Q150:Q152"/>
    <mergeCell ref="P153:P155"/>
    <mergeCell ref="Q153:Q155"/>
    <mergeCell ref="R150:R152"/>
    <mergeCell ref="S150:S152"/>
    <mergeCell ref="T150:T152"/>
    <mergeCell ref="R147:R149"/>
    <mergeCell ref="S147:S149"/>
    <mergeCell ref="T147:T149"/>
    <mergeCell ref="A150:A152"/>
    <mergeCell ref="B150:B152"/>
    <mergeCell ref="C150:C152"/>
    <mergeCell ref="D150:D152"/>
    <mergeCell ref="E150:E152"/>
    <mergeCell ref="F150:F152"/>
    <mergeCell ref="G150:G152"/>
    <mergeCell ref="G141:G143"/>
    <mergeCell ref="O141:O143"/>
    <mergeCell ref="S144:S146"/>
    <mergeCell ref="T144:T146"/>
    <mergeCell ref="A147:A149"/>
    <mergeCell ref="B147:B149"/>
    <mergeCell ref="E147:E149"/>
    <mergeCell ref="F147:F149"/>
    <mergeCell ref="G147:G149"/>
    <mergeCell ref="O147:O149"/>
    <mergeCell ref="P147:P149"/>
    <mergeCell ref="Q147:Q149"/>
    <mergeCell ref="F144:F146"/>
    <mergeCell ref="G144:G146"/>
    <mergeCell ref="O144:O146"/>
    <mergeCell ref="P144:P146"/>
    <mergeCell ref="Q144:Q146"/>
    <mergeCell ref="R144:R146"/>
    <mergeCell ref="A144:A146"/>
    <mergeCell ref="B144:B146"/>
    <mergeCell ref="C144:C146"/>
    <mergeCell ref="D144:D146"/>
    <mergeCell ref="E144:E146"/>
    <mergeCell ref="A141:A143"/>
    <mergeCell ref="B141:B143"/>
    <mergeCell ref="E141:E143"/>
    <mergeCell ref="F141:F143"/>
    <mergeCell ref="P135:P137"/>
    <mergeCell ref="Q135:Q137"/>
    <mergeCell ref="R135:R137"/>
    <mergeCell ref="S135:S137"/>
    <mergeCell ref="T135:T137"/>
    <mergeCell ref="O135:O137"/>
    <mergeCell ref="P141:P143"/>
    <mergeCell ref="Q141:Q143"/>
    <mergeCell ref="R141:R143"/>
    <mergeCell ref="S141:S143"/>
    <mergeCell ref="T141:T143"/>
    <mergeCell ref="P132:P134"/>
    <mergeCell ref="Q132:Q134"/>
    <mergeCell ref="R132:R134"/>
    <mergeCell ref="S132:S134"/>
    <mergeCell ref="T132:T134"/>
    <mergeCell ref="R129:R131"/>
    <mergeCell ref="S129:S131"/>
    <mergeCell ref="T129:T131"/>
    <mergeCell ref="A138:A139"/>
    <mergeCell ref="B138:B139"/>
    <mergeCell ref="E138:E139"/>
    <mergeCell ref="F138:F139"/>
    <mergeCell ref="G138:G139"/>
    <mergeCell ref="A135:A137"/>
    <mergeCell ref="B135:B137"/>
    <mergeCell ref="E135:E137"/>
    <mergeCell ref="F135:F137"/>
    <mergeCell ref="G135:G137"/>
    <mergeCell ref="O138:O139"/>
    <mergeCell ref="P138:P139"/>
    <mergeCell ref="Q138:Q140"/>
    <mergeCell ref="R138:R139"/>
    <mergeCell ref="S138:S139"/>
    <mergeCell ref="T138:T139"/>
    <mergeCell ref="S126:S128"/>
    <mergeCell ref="T126:T128"/>
    <mergeCell ref="A129:A131"/>
    <mergeCell ref="B129:B131"/>
    <mergeCell ref="E129:E131"/>
    <mergeCell ref="F129:F131"/>
    <mergeCell ref="G129:G131"/>
    <mergeCell ref="O129:O131"/>
    <mergeCell ref="P129:P131"/>
    <mergeCell ref="Q129:Q131"/>
    <mergeCell ref="A123:A125"/>
    <mergeCell ref="B123:B125"/>
    <mergeCell ref="E123:E125"/>
    <mergeCell ref="F123:F125"/>
    <mergeCell ref="G123:G125"/>
    <mergeCell ref="O123:O125"/>
    <mergeCell ref="A132:A134"/>
    <mergeCell ref="B132:B134"/>
    <mergeCell ref="C132:C134"/>
    <mergeCell ref="D132:D134"/>
    <mergeCell ref="E132:E134"/>
    <mergeCell ref="F132:F134"/>
    <mergeCell ref="G132:G134"/>
    <mergeCell ref="O132:O134"/>
    <mergeCell ref="A126:A128"/>
    <mergeCell ref="B126:B128"/>
    <mergeCell ref="E126:E128"/>
    <mergeCell ref="F126:F128"/>
    <mergeCell ref="G126:G128"/>
    <mergeCell ref="O126:O128"/>
    <mergeCell ref="P126:P128"/>
    <mergeCell ref="Q126:Q128"/>
    <mergeCell ref="R126:R128"/>
    <mergeCell ref="Q120:Q122"/>
    <mergeCell ref="R120:R122"/>
    <mergeCell ref="S120:S122"/>
    <mergeCell ref="T120:T122"/>
    <mergeCell ref="V121:V123"/>
    <mergeCell ref="P123:P125"/>
    <mergeCell ref="Q123:Q125"/>
    <mergeCell ref="R123:R125"/>
    <mergeCell ref="S123:S125"/>
    <mergeCell ref="T123:T125"/>
    <mergeCell ref="A120:A122"/>
    <mergeCell ref="B120:B122"/>
    <mergeCell ref="C120:C122"/>
    <mergeCell ref="D120:D122"/>
    <mergeCell ref="E120:E122"/>
    <mergeCell ref="F120:F122"/>
    <mergeCell ref="G120:G122"/>
    <mergeCell ref="O120:O122"/>
    <mergeCell ref="P120:P122"/>
    <mergeCell ref="A114:A116"/>
    <mergeCell ref="B114:B116"/>
    <mergeCell ref="E114:E116"/>
    <mergeCell ref="F114:F116"/>
    <mergeCell ref="G114:G116"/>
    <mergeCell ref="V114:V116"/>
    <mergeCell ref="A117:A119"/>
    <mergeCell ref="B117:B119"/>
    <mergeCell ref="E117:E119"/>
    <mergeCell ref="F117:F119"/>
    <mergeCell ref="G117:G119"/>
    <mergeCell ref="O117:O119"/>
    <mergeCell ref="P117:P119"/>
    <mergeCell ref="Q117:Q119"/>
    <mergeCell ref="R117:R119"/>
    <mergeCell ref="O114:O116"/>
    <mergeCell ref="P114:P116"/>
    <mergeCell ref="Q114:Q116"/>
    <mergeCell ref="R114:R116"/>
    <mergeCell ref="S114:S116"/>
    <mergeCell ref="T114:T116"/>
    <mergeCell ref="S117:S119"/>
    <mergeCell ref="T117:T119"/>
    <mergeCell ref="V108:V110"/>
    <mergeCell ref="A111:A113"/>
    <mergeCell ref="B111:B113"/>
    <mergeCell ref="C111:C113"/>
    <mergeCell ref="D111:D113"/>
    <mergeCell ref="E111:E113"/>
    <mergeCell ref="F111:F113"/>
    <mergeCell ref="G111:G113"/>
    <mergeCell ref="O111:O113"/>
    <mergeCell ref="P111:P113"/>
    <mergeCell ref="O108:O110"/>
    <mergeCell ref="P108:P110"/>
    <mergeCell ref="Q108:Q110"/>
    <mergeCell ref="R108:R110"/>
    <mergeCell ref="S108:S110"/>
    <mergeCell ref="T108:T110"/>
    <mergeCell ref="Q111:Q113"/>
    <mergeCell ref="R111:R113"/>
    <mergeCell ref="S111:S113"/>
    <mergeCell ref="T111:T113"/>
    <mergeCell ref="V111:V113"/>
    <mergeCell ref="P105:P107"/>
    <mergeCell ref="Q105:Q107"/>
    <mergeCell ref="R105:R107"/>
    <mergeCell ref="S105:S107"/>
    <mergeCell ref="T105:T107"/>
    <mergeCell ref="A108:A110"/>
    <mergeCell ref="B108:B110"/>
    <mergeCell ref="E108:E110"/>
    <mergeCell ref="F108:F110"/>
    <mergeCell ref="G108:G110"/>
    <mergeCell ref="A105:A107"/>
    <mergeCell ref="B105:B107"/>
    <mergeCell ref="C105:C107"/>
    <mergeCell ref="D105:D107"/>
    <mergeCell ref="E105:E107"/>
    <mergeCell ref="F105:F107"/>
    <mergeCell ref="G105:G107"/>
    <mergeCell ref="O105:O107"/>
    <mergeCell ref="F102:F104"/>
    <mergeCell ref="G102:G104"/>
    <mergeCell ref="O102:O104"/>
    <mergeCell ref="P99:P101"/>
    <mergeCell ref="Q99:Q101"/>
    <mergeCell ref="R99:R101"/>
    <mergeCell ref="S99:S101"/>
    <mergeCell ref="T99:T101"/>
    <mergeCell ref="A102:A104"/>
    <mergeCell ref="B102:B104"/>
    <mergeCell ref="C102:C104"/>
    <mergeCell ref="D102:D104"/>
    <mergeCell ref="E102:E104"/>
    <mergeCell ref="A99:A101"/>
    <mergeCell ref="B99:B101"/>
    <mergeCell ref="E99:E101"/>
    <mergeCell ref="F99:F101"/>
    <mergeCell ref="G99:G101"/>
    <mergeCell ref="O99:O101"/>
    <mergeCell ref="S102:S104"/>
    <mergeCell ref="T102:T104"/>
    <mergeCell ref="P102:P104"/>
    <mergeCell ref="Q102:Q104"/>
    <mergeCell ref="R102:R104"/>
    <mergeCell ref="O96:O98"/>
    <mergeCell ref="P96:P98"/>
    <mergeCell ref="Q96:Q98"/>
    <mergeCell ref="R96:R98"/>
    <mergeCell ref="S96:S98"/>
    <mergeCell ref="T96:T98"/>
    <mergeCell ref="P93:P95"/>
    <mergeCell ref="Q93:Q95"/>
    <mergeCell ref="R93:R95"/>
    <mergeCell ref="S93:S95"/>
    <mergeCell ref="T93:T95"/>
    <mergeCell ref="O93:O95"/>
    <mergeCell ref="A96:A98"/>
    <mergeCell ref="B96:B98"/>
    <mergeCell ref="E96:E98"/>
    <mergeCell ref="F96:F98"/>
    <mergeCell ref="G96:G98"/>
    <mergeCell ref="A93:A95"/>
    <mergeCell ref="B93:B95"/>
    <mergeCell ref="E93:E95"/>
    <mergeCell ref="F93:F95"/>
    <mergeCell ref="G93:G95"/>
    <mergeCell ref="O90:O92"/>
    <mergeCell ref="P90:P92"/>
    <mergeCell ref="Q90:Q92"/>
    <mergeCell ref="R90:R92"/>
    <mergeCell ref="S90:S92"/>
    <mergeCell ref="T90:T92"/>
    <mergeCell ref="P87:P89"/>
    <mergeCell ref="Q87:Q89"/>
    <mergeCell ref="R87:R89"/>
    <mergeCell ref="S87:S89"/>
    <mergeCell ref="T87:T89"/>
    <mergeCell ref="O87:O89"/>
    <mergeCell ref="A90:A92"/>
    <mergeCell ref="B90:B92"/>
    <mergeCell ref="E90:E92"/>
    <mergeCell ref="F90:F92"/>
    <mergeCell ref="G90:G92"/>
    <mergeCell ref="A87:A89"/>
    <mergeCell ref="B87:B89"/>
    <mergeCell ref="E87:E89"/>
    <mergeCell ref="F87:F89"/>
    <mergeCell ref="G87:G89"/>
    <mergeCell ref="O84:O86"/>
    <mergeCell ref="P84:P86"/>
    <mergeCell ref="Q84:Q86"/>
    <mergeCell ref="R84:R86"/>
    <mergeCell ref="S84:S86"/>
    <mergeCell ref="T84:T86"/>
    <mergeCell ref="P81:P83"/>
    <mergeCell ref="Q81:Q83"/>
    <mergeCell ref="R81:R83"/>
    <mergeCell ref="S81:S83"/>
    <mergeCell ref="T81:T83"/>
    <mergeCell ref="O81:O83"/>
    <mergeCell ref="A84:A86"/>
    <mergeCell ref="B84:B86"/>
    <mergeCell ref="E84:E86"/>
    <mergeCell ref="F84:F86"/>
    <mergeCell ref="G84:G86"/>
    <mergeCell ref="A81:A83"/>
    <mergeCell ref="B81:B83"/>
    <mergeCell ref="E81:E83"/>
    <mergeCell ref="F81:F83"/>
    <mergeCell ref="G81:G83"/>
    <mergeCell ref="O78:O80"/>
    <mergeCell ref="P78:P80"/>
    <mergeCell ref="Q78:Q80"/>
    <mergeCell ref="R78:R80"/>
    <mergeCell ref="S78:S80"/>
    <mergeCell ref="T78:T80"/>
    <mergeCell ref="P75:P77"/>
    <mergeCell ref="Q75:Q77"/>
    <mergeCell ref="R75:R77"/>
    <mergeCell ref="S75:S77"/>
    <mergeCell ref="T75:T77"/>
    <mergeCell ref="O75:O77"/>
    <mergeCell ref="A78:A80"/>
    <mergeCell ref="B78:B80"/>
    <mergeCell ref="E78:E80"/>
    <mergeCell ref="F78:F80"/>
    <mergeCell ref="G78:G80"/>
    <mergeCell ref="A75:A77"/>
    <mergeCell ref="B75:B77"/>
    <mergeCell ref="E75:E77"/>
    <mergeCell ref="F75:F77"/>
    <mergeCell ref="G75:G77"/>
    <mergeCell ref="O72:O74"/>
    <mergeCell ref="P72:P74"/>
    <mergeCell ref="Q72:Q74"/>
    <mergeCell ref="R72:R74"/>
    <mergeCell ref="S72:S74"/>
    <mergeCell ref="T72:T74"/>
    <mergeCell ref="P69:P71"/>
    <mergeCell ref="Q69:Q71"/>
    <mergeCell ref="R69:R71"/>
    <mergeCell ref="S69:S71"/>
    <mergeCell ref="T69:T71"/>
    <mergeCell ref="O69:O71"/>
    <mergeCell ref="A72:A74"/>
    <mergeCell ref="B72:B74"/>
    <mergeCell ref="E72:E74"/>
    <mergeCell ref="F72:F74"/>
    <mergeCell ref="G72:G74"/>
    <mergeCell ref="A69:A71"/>
    <mergeCell ref="B69:B71"/>
    <mergeCell ref="E69:E71"/>
    <mergeCell ref="F69:F71"/>
    <mergeCell ref="G69:G71"/>
    <mergeCell ref="O66:O68"/>
    <mergeCell ref="P66:P68"/>
    <mergeCell ref="Q66:Q68"/>
    <mergeCell ref="R66:R68"/>
    <mergeCell ref="S66:S68"/>
    <mergeCell ref="T66:T68"/>
    <mergeCell ref="P63:P65"/>
    <mergeCell ref="Q63:Q65"/>
    <mergeCell ref="R63:R65"/>
    <mergeCell ref="S63:S65"/>
    <mergeCell ref="T63:T65"/>
    <mergeCell ref="O63:O65"/>
    <mergeCell ref="A66:A68"/>
    <mergeCell ref="B66:B68"/>
    <mergeCell ref="E66:E68"/>
    <mergeCell ref="F66:F68"/>
    <mergeCell ref="G66:G68"/>
    <mergeCell ref="A63:A65"/>
    <mergeCell ref="B63:B65"/>
    <mergeCell ref="E63:E65"/>
    <mergeCell ref="F63:F65"/>
    <mergeCell ref="G63:G65"/>
    <mergeCell ref="P60:P62"/>
    <mergeCell ref="Q60:Q62"/>
    <mergeCell ref="R60:R62"/>
    <mergeCell ref="S60:S62"/>
    <mergeCell ref="T60:T62"/>
    <mergeCell ref="V60:V62"/>
    <mergeCell ref="A60:A62"/>
    <mergeCell ref="B60:B62"/>
    <mergeCell ref="E60:E62"/>
    <mergeCell ref="F60:F62"/>
    <mergeCell ref="G60:G62"/>
    <mergeCell ref="O60:O62"/>
    <mergeCell ref="P57:P59"/>
    <mergeCell ref="Q57:Q59"/>
    <mergeCell ref="R57:R59"/>
    <mergeCell ref="S57:S59"/>
    <mergeCell ref="T57:T59"/>
    <mergeCell ref="V57:V59"/>
    <mergeCell ref="A57:A59"/>
    <mergeCell ref="B57:B59"/>
    <mergeCell ref="E57:E59"/>
    <mergeCell ref="F57:F59"/>
    <mergeCell ref="G57:G59"/>
    <mergeCell ref="O57:O59"/>
    <mergeCell ref="O54:O56"/>
    <mergeCell ref="P54:P56"/>
    <mergeCell ref="Q54:Q56"/>
    <mergeCell ref="R54:R56"/>
    <mergeCell ref="S54:S56"/>
    <mergeCell ref="T54:T56"/>
    <mergeCell ref="P51:P53"/>
    <mergeCell ref="Q51:Q53"/>
    <mergeCell ref="R51:R53"/>
    <mergeCell ref="S51:S53"/>
    <mergeCell ref="T51:T53"/>
    <mergeCell ref="O51:O53"/>
    <mergeCell ref="A54:A56"/>
    <mergeCell ref="B54:B56"/>
    <mergeCell ref="E54:E56"/>
    <mergeCell ref="F54:F56"/>
    <mergeCell ref="G54:G56"/>
    <mergeCell ref="A51:A53"/>
    <mergeCell ref="B51:B53"/>
    <mergeCell ref="E51:E53"/>
    <mergeCell ref="F51:F53"/>
    <mergeCell ref="G51:G53"/>
    <mergeCell ref="O48:O50"/>
    <mergeCell ref="P48:P50"/>
    <mergeCell ref="Q48:Q50"/>
    <mergeCell ref="R48:R50"/>
    <mergeCell ref="S48:S50"/>
    <mergeCell ref="T48:T50"/>
    <mergeCell ref="P45:P47"/>
    <mergeCell ref="Q45:Q47"/>
    <mergeCell ref="R45:R47"/>
    <mergeCell ref="S45:S47"/>
    <mergeCell ref="T45:T47"/>
    <mergeCell ref="O45:O47"/>
    <mergeCell ref="A48:A50"/>
    <mergeCell ref="B48:B50"/>
    <mergeCell ref="E48:E50"/>
    <mergeCell ref="F48:F50"/>
    <mergeCell ref="G48:G50"/>
    <mergeCell ref="A45:A47"/>
    <mergeCell ref="B45:B47"/>
    <mergeCell ref="E45:E47"/>
    <mergeCell ref="F45:F47"/>
    <mergeCell ref="G45:G47"/>
    <mergeCell ref="O42:O44"/>
    <mergeCell ref="P42:P44"/>
    <mergeCell ref="Q42:Q44"/>
    <mergeCell ref="R42:R44"/>
    <mergeCell ref="S42:S44"/>
    <mergeCell ref="T42:T44"/>
    <mergeCell ref="P39:P41"/>
    <mergeCell ref="Q39:Q41"/>
    <mergeCell ref="R39:R41"/>
    <mergeCell ref="S39:S41"/>
    <mergeCell ref="T39:T41"/>
    <mergeCell ref="O39:O41"/>
    <mergeCell ref="A42:A44"/>
    <mergeCell ref="B42:B44"/>
    <mergeCell ref="E42:E44"/>
    <mergeCell ref="F42:F44"/>
    <mergeCell ref="G42:G44"/>
    <mergeCell ref="A39:A41"/>
    <mergeCell ref="B39:B41"/>
    <mergeCell ref="E39:E41"/>
    <mergeCell ref="F39:F41"/>
    <mergeCell ref="G39:G41"/>
    <mergeCell ref="Q36:Q38"/>
    <mergeCell ref="R36:R38"/>
    <mergeCell ref="S36:S38"/>
    <mergeCell ref="T36:T38"/>
    <mergeCell ref="P33:P35"/>
    <mergeCell ref="Q33:Q35"/>
    <mergeCell ref="R33:R35"/>
    <mergeCell ref="S33:S35"/>
    <mergeCell ref="T33:T35"/>
    <mergeCell ref="Q30:Q32"/>
    <mergeCell ref="R30:R32"/>
    <mergeCell ref="S30:S32"/>
    <mergeCell ref="T30:T32"/>
    <mergeCell ref="A33:A35"/>
    <mergeCell ref="B33:B35"/>
    <mergeCell ref="E33:E35"/>
    <mergeCell ref="F33:F35"/>
    <mergeCell ref="G33:G35"/>
    <mergeCell ref="O33:O35"/>
    <mergeCell ref="A30:A32"/>
    <mergeCell ref="B30:B32"/>
    <mergeCell ref="E30:E32"/>
    <mergeCell ref="F30:F32"/>
    <mergeCell ref="G30:G32"/>
    <mergeCell ref="O30:O32"/>
    <mergeCell ref="P30:P32"/>
    <mergeCell ref="A36:A38"/>
    <mergeCell ref="B36:B38"/>
    <mergeCell ref="E36:E38"/>
    <mergeCell ref="F36:F38"/>
    <mergeCell ref="G36:G38"/>
    <mergeCell ref="O36:O38"/>
    <mergeCell ref="P36:P38"/>
    <mergeCell ref="S24:S26"/>
    <mergeCell ref="T24:T26"/>
    <mergeCell ref="A27:A29"/>
    <mergeCell ref="B27:B29"/>
    <mergeCell ref="E27:E29"/>
    <mergeCell ref="F27:F29"/>
    <mergeCell ref="G27:G29"/>
    <mergeCell ref="O27:O29"/>
    <mergeCell ref="P27:P29"/>
    <mergeCell ref="Q27:Q29"/>
    <mergeCell ref="R27:R29"/>
    <mergeCell ref="S27:S29"/>
    <mergeCell ref="T27:T29"/>
    <mergeCell ref="S15:S17"/>
    <mergeCell ref="T15:T17"/>
    <mergeCell ref="T21:T23"/>
    <mergeCell ref="A24:A26"/>
    <mergeCell ref="B24:B26"/>
    <mergeCell ref="E24:E26"/>
    <mergeCell ref="F24:F26"/>
    <mergeCell ref="G24:G26"/>
    <mergeCell ref="O24:O26"/>
    <mergeCell ref="P24:P26"/>
    <mergeCell ref="Q24:Q26"/>
    <mergeCell ref="R24:R26"/>
    <mergeCell ref="G21:G23"/>
    <mergeCell ref="O21:O23"/>
    <mergeCell ref="P21:P23"/>
    <mergeCell ref="Q21:Q23"/>
    <mergeCell ref="R21:R23"/>
    <mergeCell ref="S21:S23"/>
    <mergeCell ref="A21:A23"/>
    <mergeCell ref="B21:B23"/>
    <mergeCell ref="C21:C23"/>
    <mergeCell ref="D21:D23"/>
    <mergeCell ref="E21:E23"/>
    <mergeCell ref="F21:F23"/>
    <mergeCell ref="A18:A20"/>
    <mergeCell ref="B18:B20"/>
    <mergeCell ref="E18:E20"/>
    <mergeCell ref="F18:F20"/>
    <mergeCell ref="G18:G20"/>
    <mergeCell ref="S12:S14"/>
    <mergeCell ref="T12:T14"/>
    <mergeCell ref="A15:A17"/>
    <mergeCell ref="B15:B17"/>
    <mergeCell ref="C15:C17"/>
    <mergeCell ref="D15:D17"/>
    <mergeCell ref="E15:E17"/>
    <mergeCell ref="F15:F17"/>
    <mergeCell ref="G15:G17"/>
    <mergeCell ref="O15:O17"/>
    <mergeCell ref="O18:O20"/>
    <mergeCell ref="P18:P20"/>
    <mergeCell ref="Q18:Q20"/>
    <mergeCell ref="R18:R20"/>
    <mergeCell ref="S18:S20"/>
    <mergeCell ref="T18:T20"/>
    <mergeCell ref="P15:P17"/>
    <mergeCell ref="Q15:Q17"/>
    <mergeCell ref="R15:R17"/>
    <mergeCell ref="T9:T11"/>
    <mergeCell ref="A12:A14"/>
    <mergeCell ref="B12:B14"/>
    <mergeCell ref="E12:E14"/>
    <mergeCell ref="F12:F14"/>
    <mergeCell ref="G12:G14"/>
    <mergeCell ref="O12:O14"/>
    <mergeCell ref="P12:P14"/>
    <mergeCell ref="Q12:Q14"/>
    <mergeCell ref="R12:R14"/>
    <mergeCell ref="G9:G11"/>
    <mergeCell ref="O9:O11"/>
    <mergeCell ref="P9:P11"/>
    <mergeCell ref="Q9:Q11"/>
    <mergeCell ref="R9:R11"/>
    <mergeCell ref="S9:S11"/>
    <mergeCell ref="A9:A11"/>
    <mergeCell ref="B9:B11"/>
    <mergeCell ref="C9:C11"/>
    <mergeCell ref="D9:D11"/>
    <mergeCell ref="E9:E11"/>
    <mergeCell ref="F9:F11"/>
    <mergeCell ref="O6:O8"/>
    <mergeCell ref="P6:P8"/>
    <mergeCell ref="Q6:Q8"/>
    <mergeCell ref="R6:R8"/>
    <mergeCell ref="S6:S8"/>
    <mergeCell ref="T6:T8"/>
    <mergeCell ref="A6:A8"/>
    <mergeCell ref="B6:B8"/>
    <mergeCell ref="C6:C8"/>
    <mergeCell ref="E6:E8"/>
    <mergeCell ref="F6:F8"/>
    <mergeCell ref="G6:G8"/>
    <mergeCell ref="O3:O5"/>
    <mergeCell ref="P3:P5"/>
    <mergeCell ref="Q3:Q5"/>
    <mergeCell ref="R3:R5"/>
    <mergeCell ref="S3:S5"/>
    <mergeCell ref="T3:T5"/>
    <mergeCell ref="A1:N1"/>
    <mergeCell ref="A3:A5"/>
    <mergeCell ref="B3:B5"/>
    <mergeCell ref="C3:C5"/>
    <mergeCell ref="D3:D5"/>
    <mergeCell ref="E3:E5"/>
    <mergeCell ref="F3:F5"/>
    <mergeCell ref="G3:G5"/>
  </mergeCells>
  <conditionalFormatting sqref="N3:T3 N4:N191 O6:T6 O9:T9 O12:T12 O15:T15 O18:T18 O21:T21 O24:T24 O27:T27 O30:T30 O33:T33 O36:T36 O39:T39 O42:T42 O45:T45 O48:T48 O51:T51 O54:T54 O57:T57 O60:T60 O63:T63 O66:T66 O69:T69 O72:T72 O75:T75 O78:T78 O81:T81 O84:T84 O87:T87 O90:T90 O93:T93 O96:T96 O99:T99 O102:T102 O105:T105 O108:T108 O111:T111 O114:T114 O117:T117 O120:T120 O123:T123 O126:T126 O129:T129 O132:T132 O135:T135 O138:T138 O141:T141 O144:T144 O147:T147 O150:T150 O153:T153 O159:T159 O162:T162 O165:T165 O168:T168 O171:T171 O174:T174 O177:T177 O180:T180 O183:T183 O186:T186 O189:T189 O192:T192">
    <cfRule type="cellIs" dxfId="5" priority="1" operator="equal">
      <formula>"Fail"</formula>
    </cfRule>
  </conditionalFormatting>
  <dataValidations count="1">
    <dataValidation type="list" allowBlank="1" showInputMessage="1" showErrorMessage="1" sqref="E30:E34 E81:E89 E75:E78 E93:E95 E27 E21:E24 E36:E40 E42:E72 E3:E18" xr:uid="{41B35AB9-C924-4F6D-9965-A0C55FF465B5}">
      <formula1>$Y$3:$Y$8</formula1>
    </dataValidation>
  </dataValidations>
  <printOptions horizontalCentered="1"/>
  <pageMargins left="0.5" right="0.5" top="1.5" bottom="0.75" header="0.5" footer="0.3"/>
  <pageSetup scale="62" fitToHeight="0" orientation="landscape" horizontalDpi="200" verticalDpi="200" r:id="rId1"/>
  <headerFooter>
    <oddHeader>&amp;L&amp;"-,Bold"&amp;8&amp;G&amp;C&amp;"-,Bold"San Francisco International Airport
8963.61_Taxiway Z Rehabilitation
P-610 QA Acceptance Test Summary&amp;R&amp;"-,Bold"&amp;8&amp;D</oddHeader>
    <oddFooter>&amp;C&amp;"-,Bold"&amp;8&amp;P of &amp;N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0E93A-E93C-4E27-B3F0-FA0BB05D62EB}">
  <sheetPr codeName="Sheet3"/>
  <dimension ref="A1:V95"/>
  <sheetViews>
    <sheetView zoomScale="145" zoomScaleNormal="14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N22" sqref="N22"/>
    </sheetView>
  </sheetViews>
  <sheetFormatPr defaultRowHeight="14.5" x14ac:dyDescent="0.35"/>
  <cols>
    <col min="1" max="1" width="12.54296875" customWidth="1"/>
    <col min="2" max="8" width="12.7265625" customWidth="1"/>
    <col min="9" max="9" width="10.7265625" customWidth="1"/>
    <col min="10" max="10" width="13.7265625" customWidth="1"/>
    <col min="11" max="11" width="10.7265625" customWidth="1"/>
    <col min="12" max="12" width="13.7265625" style="20" customWidth="1"/>
    <col min="13" max="13" width="10.26953125" customWidth="1"/>
    <col min="14" max="14" width="13.7265625" customWidth="1"/>
    <col min="16" max="16" width="10.26953125" customWidth="1"/>
    <col min="21" max="21" width="9.1796875" customWidth="1"/>
  </cols>
  <sheetData>
    <row r="1" spans="1:22" ht="43.5" x14ac:dyDescent="0.35">
      <c r="A1" s="23" t="s">
        <v>29</v>
      </c>
      <c r="B1" s="22" t="s">
        <v>12</v>
      </c>
      <c r="C1" s="22" t="s">
        <v>13</v>
      </c>
      <c r="D1" s="23" t="s">
        <v>43</v>
      </c>
      <c r="E1" s="23" t="s">
        <v>33</v>
      </c>
      <c r="F1" s="22" t="s">
        <v>15</v>
      </c>
      <c r="G1" s="23" t="s">
        <v>31</v>
      </c>
      <c r="H1" s="23" t="s">
        <v>26</v>
      </c>
      <c r="I1" s="23" t="s">
        <v>14</v>
      </c>
      <c r="J1" s="23" t="s">
        <v>26</v>
      </c>
      <c r="K1" s="23" t="s">
        <v>16</v>
      </c>
      <c r="L1" s="23" t="s">
        <v>26</v>
      </c>
      <c r="M1" s="23" t="s">
        <v>32</v>
      </c>
      <c r="N1" s="23" t="s">
        <v>26</v>
      </c>
      <c r="U1" t="s">
        <v>20</v>
      </c>
      <c r="V1" t="s">
        <v>19</v>
      </c>
    </row>
    <row r="2" spans="1:22" x14ac:dyDescent="0.35">
      <c r="A2" s="21">
        <v>45316</v>
      </c>
      <c r="B2" s="20" t="s">
        <v>20</v>
      </c>
      <c r="C2" s="20" t="s">
        <v>25</v>
      </c>
      <c r="D2" s="20">
        <v>63</v>
      </c>
      <c r="E2" s="21" t="s">
        <v>27</v>
      </c>
      <c r="F2" s="20" t="s">
        <v>17</v>
      </c>
      <c r="G2" s="21">
        <f>A2+7</f>
        <v>45323</v>
      </c>
      <c r="H2" s="21" t="s">
        <v>27</v>
      </c>
      <c r="K2" s="21">
        <f>A2+28</f>
        <v>45344</v>
      </c>
      <c r="L2" s="20" t="s">
        <v>27</v>
      </c>
      <c r="M2" s="55">
        <f>A2+56</f>
        <v>45372</v>
      </c>
      <c r="N2" s="20"/>
      <c r="P2" s="20">
        <v>571852</v>
      </c>
      <c r="Q2" t="s">
        <v>22</v>
      </c>
      <c r="T2" t="s">
        <v>27</v>
      </c>
      <c r="U2" t="s">
        <v>21</v>
      </c>
      <c r="V2" t="s">
        <v>18</v>
      </c>
    </row>
    <row r="3" spans="1:22" x14ac:dyDescent="0.35">
      <c r="A3" s="21">
        <v>45317</v>
      </c>
      <c r="B3" s="20" t="s">
        <v>20</v>
      </c>
      <c r="C3" s="20" t="s">
        <v>25</v>
      </c>
      <c r="D3" s="20">
        <f>9*6</f>
        <v>54</v>
      </c>
      <c r="E3" s="21" t="s">
        <v>27</v>
      </c>
      <c r="F3" s="20" t="s">
        <v>17</v>
      </c>
      <c r="G3" s="21">
        <f>A3+7</f>
        <v>45324</v>
      </c>
      <c r="H3" s="21" t="s">
        <v>27</v>
      </c>
      <c r="K3" s="21">
        <f>A3+28</f>
        <v>45345</v>
      </c>
      <c r="L3" s="20" t="s">
        <v>27</v>
      </c>
      <c r="M3" s="55">
        <f>A3+56</f>
        <v>45373</v>
      </c>
      <c r="N3" s="20"/>
      <c r="P3" t="s">
        <v>36</v>
      </c>
      <c r="Q3" t="s">
        <v>45</v>
      </c>
      <c r="T3" t="s">
        <v>28</v>
      </c>
      <c r="U3" t="s">
        <v>22</v>
      </c>
    </row>
    <row r="4" spans="1:22" x14ac:dyDescent="0.35">
      <c r="A4" s="21">
        <v>45318</v>
      </c>
      <c r="B4" s="20" t="s">
        <v>20</v>
      </c>
      <c r="C4" s="20" t="s">
        <v>25</v>
      </c>
      <c r="D4" s="20">
        <f>9*8</f>
        <v>72</v>
      </c>
      <c r="E4" s="21" t="s">
        <v>27</v>
      </c>
      <c r="F4" s="20" t="s">
        <v>17</v>
      </c>
      <c r="G4" s="21">
        <f>A4+7</f>
        <v>45325</v>
      </c>
      <c r="H4" s="21" t="s">
        <v>27</v>
      </c>
      <c r="K4" s="21">
        <f>A4+28</f>
        <v>45346</v>
      </c>
      <c r="L4" s="20" t="s">
        <v>27</v>
      </c>
      <c r="M4" s="55">
        <f>A4+56</f>
        <v>45374</v>
      </c>
      <c r="N4" s="20"/>
      <c r="P4" t="s">
        <v>25</v>
      </c>
      <c r="Q4" t="s">
        <v>45</v>
      </c>
      <c r="U4" t="s">
        <v>23</v>
      </c>
    </row>
    <row r="5" spans="1:22" x14ac:dyDescent="0.35">
      <c r="A5" s="21">
        <v>45320</v>
      </c>
      <c r="B5" s="20" t="s">
        <v>20</v>
      </c>
      <c r="C5" s="20" t="s">
        <v>25</v>
      </c>
      <c r="D5" s="20">
        <f>9*8</f>
        <v>72</v>
      </c>
      <c r="E5" s="21" t="s">
        <v>27</v>
      </c>
      <c r="F5" s="20" t="s">
        <v>17</v>
      </c>
      <c r="G5" s="21">
        <f>A5+7</f>
        <v>45327</v>
      </c>
      <c r="H5" s="21" t="s">
        <v>27</v>
      </c>
      <c r="K5" s="21">
        <f>A5+28</f>
        <v>45348</v>
      </c>
      <c r="L5" s="20" t="s">
        <v>27</v>
      </c>
      <c r="M5" s="55">
        <f>A5+56</f>
        <v>45376</v>
      </c>
      <c r="N5" s="20"/>
      <c r="U5" t="s">
        <v>24</v>
      </c>
    </row>
    <row r="6" spans="1:22" x14ac:dyDescent="0.35">
      <c r="A6" s="21">
        <v>45321</v>
      </c>
      <c r="B6" s="20" t="s">
        <v>20</v>
      </c>
      <c r="C6" s="20" t="s">
        <v>25</v>
      </c>
      <c r="D6" s="20">
        <f>9*7</f>
        <v>63</v>
      </c>
      <c r="E6" s="21" t="s">
        <v>27</v>
      </c>
      <c r="F6" s="20" t="s">
        <v>17</v>
      </c>
      <c r="G6" s="21">
        <f>A6+7</f>
        <v>45328</v>
      </c>
      <c r="H6" s="21" t="s">
        <v>27</v>
      </c>
      <c r="K6" s="21">
        <f>A6+28</f>
        <v>45349</v>
      </c>
      <c r="L6" s="20" t="s">
        <v>27</v>
      </c>
      <c r="M6" s="55">
        <f>A6+56</f>
        <v>45377</v>
      </c>
      <c r="N6" s="20"/>
      <c r="U6" t="s">
        <v>30</v>
      </c>
    </row>
    <row r="7" spans="1:22" hidden="1" x14ac:dyDescent="0.35">
      <c r="A7" s="21">
        <v>45322</v>
      </c>
      <c r="B7" s="20"/>
      <c r="C7" s="20"/>
      <c r="D7" s="20"/>
      <c r="E7" s="21"/>
      <c r="F7" s="20" t="s">
        <v>18</v>
      </c>
      <c r="G7" s="21"/>
      <c r="H7" s="21"/>
      <c r="J7" s="21"/>
      <c r="K7" s="21"/>
      <c r="M7" s="55"/>
      <c r="N7" s="20"/>
      <c r="U7" t="s">
        <v>40</v>
      </c>
    </row>
    <row r="8" spans="1:22" hidden="1" x14ac:dyDescent="0.35">
      <c r="A8" s="21">
        <v>45323</v>
      </c>
      <c r="B8" s="20"/>
      <c r="C8" s="20"/>
      <c r="D8" s="20"/>
      <c r="E8" s="21"/>
      <c r="F8" s="20" t="s">
        <v>18</v>
      </c>
      <c r="G8" s="21"/>
      <c r="H8" s="21"/>
      <c r="J8" s="21"/>
      <c r="K8" s="21"/>
      <c r="M8" s="55"/>
      <c r="N8" s="20"/>
    </row>
    <row r="9" spans="1:22" x14ac:dyDescent="0.35">
      <c r="A9" s="21">
        <v>45324</v>
      </c>
      <c r="B9" s="20" t="s">
        <v>20</v>
      </c>
      <c r="C9" s="20" t="s">
        <v>25</v>
      </c>
      <c r="D9" s="20">
        <f>2*9</f>
        <v>18</v>
      </c>
      <c r="E9" s="21" t="s">
        <v>27</v>
      </c>
      <c r="F9" s="20" t="s">
        <v>19</v>
      </c>
      <c r="G9" s="21">
        <f>A9+7</f>
        <v>45331</v>
      </c>
      <c r="H9" s="21" t="s">
        <v>27</v>
      </c>
      <c r="I9" s="55">
        <f>A9+7</f>
        <v>45331</v>
      </c>
      <c r="J9" s="21" t="s">
        <v>27</v>
      </c>
      <c r="K9" s="21">
        <f>A9+28</f>
        <v>45352</v>
      </c>
      <c r="L9" s="20" t="s">
        <v>27</v>
      </c>
      <c r="M9" s="55"/>
      <c r="N9" s="20"/>
    </row>
    <row r="10" spans="1:22" x14ac:dyDescent="0.35">
      <c r="A10" s="21">
        <v>45325</v>
      </c>
      <c r="B10" s="20" t="s">
        <v>20</v>
      </c>
      <c r="C10" s="20" t="s">
        <v>25</v>
      </c>
      <c r="D10" s="20">
        <f>9*11</f>
        <v>99</v>
      </c>
      <c r="E10" s="21" t="s">
        <v>27</v>
      </c>
      <c r="F10" s="20" t="s">
        <v>17</v>
      </c>
      <c r="G10" s="21">
        <f>A10+9</f>
        <v>45334</v>
      </c>
      <c r="H10" s="21" t="s">
        <v>27</v>
      </c>
      <c r="K10" s="21">
        <f>A10+30</f>
        <v>45355</v>
      </c>
      <c r="L10" s="20" t="s">
        <v>27</v>
      </c>
      <c r="M10" s="55">
        <f>A10+56</f>
        <v>45381</v>
      </c>
      <c r="N10" s="20"/>
    </row>
    <row r="11" spans="1:22" x14ac:dyDescent="0.35">
      <c r="A11" s="21">
        <v>45327</v>
      </c>
      <c r="B11" s="20" t="s">
        <v>20</v>
      </c>
      <c r="C11" s="20" t="s">
        <v>25</v>
      </c>
      <c r="D11" s="20">
        <f>9*3</f>
        <v>27</v>
      </c>
      <c r="E11" s="21" t="s">
        <v>27</v>
      </c>
      <c r="F11" s="20" t="s">
        <v>17</v>
      </c>
      <c r="G11" s="21">
        <f>A11+7</f>
        <v>45334</v>
      </c>
      <c r="H11" s="21" t="s">
        <v>27</v>
      </c>
      <c r="K11" s="21">
        <f>A11+28</f>
        <v>45355</v>
      </c>
      <c r="L11" s="20" t="s">
        <v>27</v>
      </c>
      <c r="M11" s="55">
        <f>A11+56</f>
        <v>45383</v>
      </c>
      <c r="N11" s="20"/>
    </row>
    <row r="12" spans="1:22" x14ac:dyDescent="0.35">
      <c r="A12" s="21">
        <v>45328</v>
      </c>
      <c r="B12" s="20" t="s">
        <v>20</v>
      </c>
      <c r="C12" s="20" t="s">
        <v>25</v>
      </c>
      <c r="D12" s="20">
        <v>7</v>
      </c>
      <c r="E12" s="21" t="s">
        <v>28</v>
      </c>
      <c r="F12" s="20" t="s">
        <v>17</v>
      </c>
      <c r="G12" s="21">
        <f>A12+7</f>
        <v>45335</v>
      </c>
      <c r="H12" s="21" t="s">
        <v>27</v>
      </c>
      <c r="K12" s="21">
        <f>A12+28</f>
        <v>45356</v>
      </c>
      <c r="L12" s="20" t="s">
        <v>27</v>
      </c>
      <c r="M12" s="55">
        <f>A12+56</f>
        <v>45384</v>
      </c>
      <c r="N12" s="20"/>
    </row>
    <row r="13" spans="1:22" hidden="1" x14ac:dyDescent="0.35">
      <c r="A13" s="21">
        <v>45329</v>
      </c>
      <c r="B13" s="20"/>
      <c r="C13" s="20"/>
      <c r="D13" s="20"/>
      <c r="E13" s="21"/>
      <c r="F13" s="20" t="s">
        <v>18</v>
      </c>
      <c r="G13" s="20"/>
      <c r="H13" s="21"/>
      <c r="I13" s="21"/>
      <c r="J13" s="21"/>
      <c r="K13" s="21"/>
      <c r="M13" s="55"/>
      <c r="N13" s="20"/>
    </row>
    <row r="14" spans="1:22" x14ac:dyDescent="0.35">
      <c r="A14" s="21">
        <v>45330</v>
      </c>
      <c r="B14" s="20" t="s">
        <v>20</v>
      </c>
      <c r="C14" s="20" t="s">
        <v>25</v>
      </c>
      <c r="D14" s="20">
        <f>9*7</f>
        <v>63</v>
      </c>
      <c r="E14" s="21" t="s">
        <v>27</v>
      </c>
      <c r="F14" s="20" t="s">
        <v>19</v>
      </c>
      <c r="G14" s="21">
        <f>A14+6</f>
        <v>45336</v>
      </c>
      <c r="H14" s="21" t="s">
        <v>27</v>
      </c>
      <c r="I14" s="21">
        <f t="shared" ref="I14:I22" si="0">A14+7</f>
        <v>45337</v>
      </c>
      <c r="J14" s="21"/>
      <c r="K14" s="36">
        <f>A14+28</f>
        <v>45358</v>
      </c>
      <c r="L14" s="20" t="s">
        <v>28</v>
      </c>
      <c r="M14" s="55">
        <f>A14+56</f>
        <v>45386</v>
      </c>
      <c r="N14" s="20"/>
    </row>
    <row r="15" spans="1:22" ht="14.25" customHeight="1" x14ac:dyDescent="0.35">
      <c r="A15" s="21">
        <v>45331</v>
      </c>
      <c r="B15" s="20" t="s">
        <v>20</v>
      </c>
      <c r="C15" s="20" t="s">
        <v>36</v>
      </c>
      <c r="D15" s="20">
        <v>9</v>
      </c>
      <c r="E15" s="21" t="s">
        <v>27</v>
      </c>
      <c r="F15" s="20" t="s">
        <v>19</v>
      </c>
      <c r="G15" s="21">
        <f>A15+5</f>
        <v>45336</v>
      </c>
      <c r="H15" s="21" t="s">
        <v>27</v>
      </c>
      <c r="I15" s="21">
        <f t="shared" si="0"/>
        <v>45338</v>
      </c>
      <c r="J15" s="21"/>
      <c r="K15" s="36">
        <f>A15+28</f>
        <v>45359</v>
      </c>
      <c r="L15" s="20" t="s">
        <v>27</v>
      </c>
      <c r="M15" s="55">
        <f>A15+56</f>
        <v>45387</v>
      </c>
      <c r="N15" s="20"/>
    </row>
    <row r="16" spans="1:22" x14ac:dyDescent="0.35">
      <c r="A16" s="21">
        <v>45331</v>
      </c>
      <c r="B16" s="20" t="s">
        <v>20</v>
      </c>
      <c r="C16" s="20" t="s">
        <v>25</v>
      </c>
      <c r="D16" s="20">
        <v>9</v>
      </c>
      <c r="E16" s="21" t="s">
        <v>27</v>
      </c>
      <c r="F16" s="20" t="s">
        <v>19</v>
      </c>
      <c r="G16" s="21">
        <f>A16+5</f>
        <v>45336</v>
      </c>
      <c r="H16" s="21" t="s">
        <v>27</v>
      </c>
      <c r="I16" s="21"/>
      <c r="J16" s="21"/>
      <c r="K16" s="36">
        <f>A16+28</f>
        <v>45359</v>
      </c>
      <c r="L16" s="20" t="s">
        <v>28</v>
      </c>
      <c r="M16" s="55"/>
      <c r="N16" s="20"/>
    </row>
    <row r="17" spans="1:14" hidden="1" x14ac:dyDescent="0.35">
      <c r="A17" s="36">
        <v>45332</v>
      </c>
      <c r="B17" s="20" t="s">
        <v>20</v>
      </c>
      <c r="C17" s="20" t="s">
        <v>25</v>
      </c>
      <c r="D17" s="20">
        <v>9</v>
      </c>
      <c r="E17" s="21" t="s">
        <v>27</v>
      </c>
      <c r="F17" s="20" t="s">
        <v>19</v>
      </c>
      <c r="G17" s="21">
        <f>A17+3</f>
        <v>45335</v>
      </c>
      <c r="H17" s="21" t="s">
        <v>28</v>
      </c>
      <c r="I17" s="21">
        <f>A17+9</f>
        <v>45341</v>
      </c>
      <c r="J17" s="21" t="s">
        <v>28</v>
      </c>
      <c r="K17" s="21">
        <f>A17+30</f>
        <v>45362</v>
      </c>
      <c r="L17" s="20" t="s">
        <v>28</v>
      </c>
      <c r="M17" s="55">
        <f>A17+58</f>
        <v>45390</v>
      </c>
      <c r="N17" s="20" t="s">
        <v>28</v>
      </c>
    </row>
    <row r="18" spans="1:14" x14ac:dyDescent="0.35">
      <c r="A18" s="21">
        <v>45334</v>
      </c>
      <c r="B18" s="20" t="s">
        <v>20</v>
      </c>
      <c r="C18" s="20" t="s">
        <v>37</v>
      </c>
      <c r="D18" s="20">
        <f>2*9</f>
        <v>18</v>
      </c>
      <c r="E18" s="21" t="s">
        <v>27</v>
      </c>
      <c r="F18" s="20" t="s">
        <v>19</v>
      </c>
      <c r="G18" s="21">
        <f>A18+3</f>
        <v>45337</v>
      </c>
      <c r="H18" s="21" t="s">
        <v>27</v>
      </c>
      <c r="I18" s="21"/>
      <c r="J18" s="21"/>
      <c r="K18" s="36">
        <f>A18+28</f>
        <v>45362</v>
      </c>
      <c r="L18" s="20" t="s">
        <v>28</v>
      </c>
      <c r="M18" s="55">
        <f>A18+56</f>
        <v>45390</v>
      </c>
      <c r="N18" s="20"/>
    </row>
    <row r="19" spans="1:14" x14ac:dyDescent="0.35">
      <c r="A19" s="21">
        <v>45335</v>
      </c>
      <c r="B19" s="20" t="s">
        <v>22</v>
      </c>
      <c r="C19" s="20">
        <v>571852</v>
      </c>
      <c r="D19" s="20">
        <f>4*9</f>
        <v>36</v>
      </c>
      <c r="E19" s="21" t="s">
        <v>27</v>
      </c>
      <c r="F19" s="20" t="s">
        <v>19</v>
      </c>
      <c r="G19" s="21">
        <f>A19+1</f>
        <v>45336</v>
      </c>
      <c r="H19" s="21" t="s">
        <v>27</v>
      </c>
      <c r="I19" s="21"/>
      <c r="J19" s="21"/>
      <c r="K19" s="21">
        <f>A19+28</f>
        <v>45363</v>
      </c>
      <c r="M19" s="55">
        <f>A19+56</f>
        <v>45391</v>
      </c>
      <c r="N19" s="20"/>
    </row>
    <row r="20" spans="1:14" x14ac:dyDescent="0.35">
      <c r="A20" s="97">
        <v>45336</v>
      </c>
      <c r="B20" s="98" t="s">
        <v>20</v>
      </c>
      <c r="C20" s="98" t="s">
        <v>41</v>
      </c>
      <c r="D20" s="98">
        <v>30</v>
      </c>
      <c r="E20" s="97" t="s">
        <v>27</v>
      </c>
      <c r="F20" s="98" t="s">
        <v>19</v>
      </c>
      <c r="G20" s="99"/>
      <c r="H20" s="97"/>
      <c r="I20" s="97"/>
      <c r="J20" s="97"/>
      <c r="K20" s="97">
        <f>A20+28</f>
        <v>45364</v>
      </c>
      <c r="L20" s="98"/>
      <c r="M20" s="100">
        <f>A20+56</f>
        <v>45392</v>
      </c>
      <c r="N20" s="98"/>
    </row>
    <row r="21" spans="1:14" x14ac:dyDescent="0.35">
      <c r="A21" s="21">
        <v>45337</v>
      </c>
      <c r="B21" s="20" t="s">
        <v>20</v>
      </c>
      <c r="C21" s="20" t="s">
        <v>37</v>
      </c>
      <c r="D21" s="20">
        <f>9*8</f>
        <v>72</v>
      </c>
      <c r="E21" s="21" t="s">
        <v>27</v>
      </c>
      <c r="F21" s="20" t="s">
        <v>19</v>
      </c>
      <c r="G21" s="21">
        <f>A21+4</f>
        <v>45341</v>
      </c>
      <c r="H21" s="21" t="s">
        <v>27</v>
      </c>
      <c r="I21" s="21">
        <f t="shared" si="0"/>
        <v>45344</v>
      </c>
      <c r="J21" s="21"/>
      <c r="K21" s="21">
        <f>A21+28</f>
        <v>45365</v>
      </c>
      <c r="M21" s="55">
        <f>A21+56</f>
        <v>45393</v>
      </c>
      <c r="N21" s="20"/>
    </row>
    <row r="22" spans="1:14" x14ac:dyDescent="0.35">
      <c r="A22" s="21">
        <v>45338</v>
      </c>
      <c r="B22" s="20" t="s">
        <v>20</v>
      </c>
      <c r="C22" s="20" t="s">
        <v>37</v>
      </c>
      <c r="D22" s="20">
        <v>14</v>
      </c>
      <c r="E22" s="21" t="s">
        <v>27</v>
      </c>
      <c r="F22" s="20" t="s">
        <v>19</v>
      </c>
      <c r="G22" s="21">
        <f>A22+3</f>
        <v>45341</v>
      </c>
      <c r="H22" s="21" t="s">
        <v>27</v>
      </c>
      <c r="I22" s="21">
        <f t="shared" si="0"/>
        <v>45345</v>
      </c>
      <c r="J22" s="21"/>
      <c r="K22" s="21">
        <f>A22+28</f>
        <v>45366</v>
      </c>
      <c r="M22" s="55">
        <f>A22+56</f>
        <v>45394</v>
      </c>
      <c r="N22" s="20"/>
    </row>
    <row r="23" spans="1:14" hidden="1" x14ac:dyDescent="0.35">
      <c r="A23" s="36">
        <v>45339</v>
      </c>
      <c r="B23" s="20"/>
      <c r="E23" s="21"/>
      <c r="F23" s="20" t="s">
        <v>18</v>
      </c>
      <c r="G23" s="21"/>
      <c r="H23" s="21" t="s">
        <v>27</v>
      </c>
      <c r="I23" s="21"/>
      <c r="J23" s="21"/>
      <c r="K23" s="21"/>
      <c r="M23" s="55"/>
      <c r="N23" s="20"/>
    </row>
    <row r="24" spans="1:14" hidden="1" x14ac:dyDescent="0.35">
      <c r="A24" s="21">
        <v>45341</v>
      </c>
      <c r="B24" s="20"/>
      <c r="C24" s="20"/>
      <c r="D24" s="20"/>
      <c r="E24" s="21"/>
      <c r="F24" s="20" t="s">
        <v>18</v>
      </c>
      <c r="G24" s="20"/>
      <c r="H24" s="21" t="s">
        <v>27</v>
      </c>
      <c r="J24" s="21"/>
      <c r="K24" s="21">
        <f>A24+30</f>
        <v>45371</v>
      </c>
      <c r="M24" s="55">
        <f>A24+58</f>
        <v>45399</v>
      </c>
    </row>
    <row r="25" spans="1:14" hidden="1" x14ac:dyDescent="0.35">
      <c r="A25" s="21">
        <v>45342</v>
      </c>
      <c r="B25" s="20"/>
      <c r="C25" s="20"/>
      <c r="D25" s="20"/>
      <c r="E25" s="21"/>
      <c r="F25" s="20" t="s">
        <v>18</v>
      </c>
      <c r="G25" s="20"/>
      <c r="H25" s="21" t="s">
        <v>27</v>
      </c>
      <c r="J25" s="21"/>
    </row>
    <row r="26" spans="1:14" hidden="1" x14ac:dyDescent="0.35">
      <c r="A26" s="21">
        <v>45343</v>
      </c>
      <c r="B26" s="20"/>
      <c r="C26" s="20"/>
      <c r="D26" s="20"/>
      <c r="E26" s="21"/>
      <c r="F26" s="20" t="s">
        <v>18</v>
      </c>
      <c r="G26" s="20"/>
      <c r="H26" s="21" t="s">
        <v>27</v>
      </c>
      <c r="J26" s="21"/>
    </row>
    <row r="27" spans="1:14" hidden="1" x14ac:dyDescent="0.35">
      <c r="A27" s="21">
        <v>45344</v>
      </c>
      <c r="B27" s="20"/>
      <c r="C27" s="20"/>
      <c r="D27" s="20"/>
      <c r="E27" s="21"/>
      <c r="F27" s="20" t="s">
        <v>18</v>
      </c>
      <c r="G27" s="20"/>
      <c r="H27" s="21" t="s">
        <v>27</v>
      </c>
      <c r="J27" s="21"/>
    </row>
    <row r="28" spans="1:14" hidden="1" x14ac:dyDescent="0.35">
      <c r="A28" s="21">
        <v>45345</v>
      </c>
      <c r="B28" s="20"/>
      <c r="C28" s="20"/>
      <c r="D28" s="20"/>
      <c r="E28" s="21"/>
      <c r="F28" s="20" t="s">
        <v>18</v>
      </c>
      <c r="G28" s="20"/>
      <c r="H28" s="21" t="s">
        <v>27</v>
      </c>
      <c r="J28" s="21"/>
    </row>
    <row r="29" spans="1:14" x14ac:dyDescent="0.35">
      <c r="A29" s="36">
        <v>45346</v>
      </c>
      <c r="B29" s="20" t="s">
        <v>20</v>
      </c>
      <c r="C29" s="20" t="s">
        <v>25</v>
      </c>
      <c r="D29" s="20">
        <v>18</v>
      </c>
      <c r="E29" s="21" t="s">
        <v>27</v>
      </c>
      <c r="F29" s="20" t="s">
        <v>19</v>
      </c>
      <c r="G29" s="21">
        <f>A29+4</f>
        <v>45350</v>
      </c>
      <c r="H29" s="21" t="s">
        <v>27</v>
      </c>
      <c r="J29" s="21"/>
      <c r="K29" s="55">
        <f>A29+30</f>
        <v>45376</v>
      </c>
    </row>
    <row r="30" spans="1:14" x14ac:dyDescent="0.35">
      <c r="A30" s="111">
        <v>45346</v>
      </c>
      <c r="B30" s="112" t="s">
        <v>20</v>
      </c>
      <c r="C30" s="112" t="s">
        <v>44</v>
      </c>
      <c r="D30" s="112">
        <v>36</v>
      </c>
      <c r="E30" s="113" t="s">
        <v>27</v>
      </c>
      <c r="F30" s="112" t="s">
        <v>19</v>
      </c>
      <c r="G30" s="113">
        <f>A30+4</f>
        <v>45350</v>
      </c>
      <c r="H30" s="113" t="s">
        <v>27</v>
      </c>
      <c r="I30" s="113">
        <f>A30+9</f>
        <v>45355</v>
      </c>
      <c r="J30" s="113" t="s">
        <v>28</v>
      </c>
      <c r="K30" s="115">
        <f>A30+28</f>
        <v>45374</v>
      </c>
      <c r="L30" s="112" t="s">
        <v>27</v>
      </c>
      <c r="M30" s="114"/>
      <c r="N30" s="114"/>
    </row>
    <row r="31" spans="1:14" x14ac:dyDescent="0.35">
      <c r="A31" s="21">
        <v>45348</v>
      </c>
      <c r="B31" s="20" t="s">
        <v>20</v>
      </c>
      <c r="C31" s="20" t="s">
        <v>37</v>
      </c>
      <c r="D31" s="20">
        <v>27</v>
      </c>
      <c r="E31" s="21" t="s">
        <v>27</v>
      </c>
      <c r="F31" s="20" t="s">
        <v>19</v>
      </c>
      <c r="G31" s="21">
        <f>A31+3</f>
        <v>45351</v>
      </c>
      <c r="H31" s="21" t="s">
        <v>27</v>
      </c>
      <c r="J31" s="21"/>
      <c r="K31" s="55">
        <f>A31+28</f>
        <v>45376</v>
      </c>
    </row>
    <row r="32" spans="1:14" x14ac:dyDescent="0.35">
      <c r="A32" s="21">
        <v>45349</v>
      </c>
      <c r="B32" s="20" t="s">
        <v>20</v>
      </c>
      <c r="C32" s="20" t="s">
        <v>37</v>
      </c>
      <c r="D32" s="20">
        <v>63</v>
      </c>
      <c r="E32" s="21" t="s">
        <v>27</v>
      </c>
      <c r="F32" s="20" t="s">
        <v>19</v>
      </c>
      <c r="G32" s="21">
        <f>A32+3</f>
        <v>45352</v>
      </c>
      <c r="H32" s="21" t="s">
        <v>27</v>
      </c>
      <c r="J32" s="21"/>
      <c r="K32" s="55">
        <f>A32+28</f>
        <v>45377</v>
      </c>
    </row>
    <row r="33" spans="1:14" x14ac:dyDescent="0.35">
      <c r="A33" s="21">
        <v>45350</v>
      </c>
      <c r="B33" s="20" t="s">
        <v>20</v>
      </c>
      <c r="C33" s="20" t="s">
        <v>37</v>
      </c>
      <c r="D33" s="20">
        <v>90</v>
      </c>
      <c r="E33" s="21" t="s">
        <v>27</v>
      </c>
      <c r="F33" s="20" t="s">
        <v>19</v>
      </c>
      <c r="G33" s="21">
        <f>A33+3</f>
        <v>45353</v>
      </c>
      <c r="H33" s="21" t="s">
        <v>27</v>
      </c>
      <c r="J33" s="21"/>
      <c r="K33" s="55">
        <f>A33+28</f>
        <v>45378</v>
      </c>
    </row>
    <row r="34" spans="1:14" x14ac:dyDescent="0.35">
      <c r="A34" s="21">
        <v>45351</v>
      </c>
      <c r="B34" s="20" t="s">
        <v>22</v>
      </c>
      <c r="C34" s="20">
        <v>571852</v>
      </c>
      <c r="D34" s="20">
        <v>27</v>
      </c>
      <c r="E34" s="21" t="s">
        <v>27</v>
      </c>
      <c r="F34" s="20" t="s">
        <v>19</v>
      </c>
      <c r="G34" s="21">
        <f>A34+1</f>
        <v>45352</v>
      </c>
      <c r="H34" s="21" t="s">
        <v>27</v>
      </c>
      <c r="J34" s="21"/>
      <c r="K34" s="55">
        <f>A34+28</f>
        <v>45379</v>
      </c>
    </row>
    <row r="35" spans="1:14" hidden="1" x14ac:dyDescent="0.35">
      <c r="A35" s="21">
        <v>45352</v>
      </c>
      <c r="B35" s="20" t="s">
        <v>20</v>
      </c>
      <c r="C35" s="20" t="s">
        <v>37</v>
      </c>
      <c r="D35" s="20"/>
      <c r="E35" s="21"/>
      <c r="F35" s="20" t="s">
        <v>18</v>
      </c>
      <c r="G35" s="20"/>
      <c r="H35" s="21"/>
      <c r="J35" s="21"/>
    </row>
    <row r="36" spans="1:14" hidden="1" x14ac:dyDescent="0.35">
      <c r="A36" s="21">
        <v>45353</v>
      </c>
      <c r="B36" s="20" t="s">
        <v>20</v>
      </c>
      <c r="C36" s="20" t="s">
        <v>37</v>
      </c>
      <c r="D36" s="20"/>
      <c r="E36" s="21"/>
      <c r="F36" s="20" t="s">
        <v>18</v>
      </c>
      <c r="G36" s="20"/>
      <c r="H36" s="21"/>
      <c r="J36" s="21"/>
    </row>
    <row r="37" spans="1:14" x14ac:dyDescent="0.35">
      <c r="A37" s="113">
        <v>45355</v>
      </c>
      <c r="B37" s="112" t="s">
        <v>20</v>
      </c>
      <c r="C37" s="112" t="s">
        <v>44</v>
      </c>
      <c r="D37" s="112">
        <v>41.5</v>
      </c>
      <c r="E37" s="113" t="s">
        <v>27</v>
      </c>
      <c r="F37" s="112" t="s">
        <v>19</v>
      </c>
      <c r="G37" s="113"/>
      <c r="H37" s="113"/>
      <c r="I37" s="113">
        <f>A37+7</f>
        <v>45362</v>
      </c>
      <c r="J37" s="113" t="s">
        <v>27</v>
      </c>
      <c r="K37" s="113">
        <f>A37+28</f>
        <v>45383</v>
      </c>
      <c r="L37" s="112"/>
      <c r="M37" s="114"/>
      <c r="N37" s="114"/>
    </row>
    <row r="38" spans="1:14" x14ac:dyDescent="0.35">
      <c r="A38" s="21">
        <v>45355</v>
      </c>
      <c r="B38" s="20" t="s">
        <v>20</v>
      </c>
      <c r="C38" s="20" t="s">
        <v>37</v>
      </c>
      <c r="D38" s="20">
        <v>5</v>
      </c>
      <c r="E38" s="21" t="s">
        <v>27</v>
      </c>
      <c r="F38" s="20" t="s">
        <v>19</v>
      </c>
      <c r="G38" s="21"/>
      <c r="H38" s="21"/>
      <c r="I38" s="21">
        <f>A38+7</f>
        <v>45362</v>
      </c>
      <c r="J38" s="21" t="s">
        <v>28</v>
      </c>
      <c r="K38" s="21">
        <f>A38+28</f>
        <v>45383</v>
      </c>
    </row>
    <row r="39" spans="1:14" hidden="1" x14ac:dyDescent="0.35">
      <c r="A39" s="21">
        <v>45356</v>
      </c>
      <c r="B39" s="20"/>
      <c r="C39" s="20" t="s">
        <v>37</v>
      </c>
      <c r="D39" s="20"/>
      <c r="E39" s="21" t="s">
        <v>28</v>
      </c>
      <c r="F39" s="20" t="s">
        <v>18</v>
      </c>
      <c r="G39" s="21"/>
      <c r="H39" s="21"/>
      <c r="I39" s="21"/>
      <c r="J39" s="21"/>
      <c r="K39" s="21"/>
    </row>
    <row r="40" spans="1:14" hidden="1" x14ac:dyDescent="0.35">
      <c r="A40" s="21">
        <v>45357</v>
      </c>
      <c r="B40" s="20"/>
      <c r="C40" s="20" t="s">
        <v>37</v>
      </c>
      <c r="D40" s="20"/>
      <c r="E40" s="21"/>
      <c r="F40" s="20" t="s">
        <v>18</v>
      </c>
      <c r="G40" s="21"/>
      <c r="H40" s="21"/>
      <c r="I40" s="21"/>
      <c r="J40" s="21"/>
      <c r="K40" s="21"/>
    </row>
    <row r="41" spans="1:14" x14ac:dyDescent="0.35">
      <c r="A41" s="21">
        <v>45358</v>
      </c>
      <c r="B41" s="20" t="s">
        <v>20</v>
      </c>
      <c r="C41" s="20" t="s">
        <v>37</v>
      </c>
      <c r="D41" s="20">
        <v>5</v>
      </c>
      <c r="E41" s="21" t="s">
        <v>27</v>
      </c>
      <c r="F41" s="20" t="s">
        <v>19</v>
      </c>
      <c r="G41" s="21"/>
      <c r="H41" s="21"/>
      <c r="I41" s="21">
        <f>A41+6</f>
        <v>45364</v>
      </c>
      <c r="J41" s="21" t="s">
        <v>27</v>
      </c>
      <c r="K41" s="21">
        <f>A41+28</f>
        <v>45386</v>
      </c>
    </row>
    <row r="42" spans="1:14" hidden="1" x14ac:dyDescent="0.35">
      <c r="A42" s="21">
        <v>45359</v>
      </c>
      <c r="B42" s="20"/>
      <c r="C42" s="20"/>
      <c r="D42" s="20"/>
      <c r="E42" s="21" t="s">
        <v>28</v>
      </c>
      <c r="F42" s="20" t="s">
        <v>18</v>
      </c>
      <c r="G42" s="21"/>
      <c r="H42" s="21"/>
      <c r="I42" s="21"/>
      <c r="J42" s="21"/>
      <c r="K42" s="21"/>
    </row>
    <row r="43" spans="1:14" hidden="1" x14ac:dyDescent="0.35">
      <c r="A43" s="21">
        <v>45360</v>
      </c>
      <c r="B43" s="20"/>
      <c r="E43" s="21" t="s">
        <v>28</v>
      </c>
      <c r="F43" s="20" t="s">
        <v>18</v>
      </c>
      <c r="G43" s="20"/>
      <c r="H43" s="21"/>
      <c r="J43" s="21"/>
    </row>
    <row r="44" spans="1:14" x14ac:dyDescent="0.35">
      <c r="A44" s="97">
        <v>45362</v>
      </c>
      <c r="B44" s="98" t="s">
        <v>20</v>
      </c>
      <c r="C44" s="98" t="s">
        <v>47</v>
      </c>
      <c r="D44" s="98">
        <v>72</v>
      </c>
      <c r="E44" s="97" t="s">
        <v>27</v>
      </c>
      <c r="F44" s="98" t="s">
        <v>19</v>
      </c>
      <c r="G44" s="98"/>
      <c r="H44" s="97"/>
      <c r="I44" s="100"/>
      <c r="J44" s="97"/>
      <c r="K44" s="100">
        <f>A44+28</f>
        <v>45390</v>
      </c>
      <c r="L44" s="98"/>
      <c r="M44" s="160"/>
      <c r="N44" s="160"/>
    </row>
    <row r="45" spans="1:14" x14ac:dyDescent="0.35">
      <c r="A45" s="21">
        <v>45364</v>
      </c>
      <c r="B45" s="20" t="s">
        <v>22</v>
      </c>
      <c r="C45" s="20" t="s">
        <v>49</v>
      </c>
      <c r="D45" s="20">
        <v>2</v>
      </c>
      <c r="E45" s="21" t="s">
        <v>27</v>
      </c>
      <c r="F45" s="20" t="s">
        <v>19</v>
      </c>
      <c r="G45" s="21">
        <f>A45+1</f>
        <v>45365</v>
      </c>
      <c r="H45" s="21" t="s">
        <v>28</v>
      </c>
      <c r="J45" s="21"/>
      <c r="K45" s="55">
        <f>A45+28</f>
        <v>45392</v>
      </c>
    </row>
    <row r="46" spans="1:14" hidden="1" x14ac:dyDescent="0.35">
      <c r="A46" s="21">
        <v>45367</v>
      </c>
      <c r="B46" s="20"/>
      <c r="C46" s="20"/>
      <c r="D46" s="20"/>
      <c r="E46" s="21" t="s">
        <v>28</v>
      </c>
      <c r="F46" s="20" t="s">
        <v>18</v>
      </c>
      <c r="G46" s="20"/>
      <c r="H46" s="21"/>
      <c r="J46" s="21"/>
      <c r="K46" s="55"/>
    </row>
    <row r="47" spans="1:14" x14ac:dyDescent="0.35">
      <c r="A47" s="162">
        <v>45369</v>
      </c>
      <c r="B47" s="163" t="s">
        <v>20</v>
      </c>
      <c r="C47" s="163" t="s">
        <v>44</v>
      </c>
      <c r="D47" s="163">
        <v>43</v>
      </c>
      <c r="E47" s="162" t="s">
        <v>27</v>
      </c>
      <c r="F47" s="163" t="s">
        <v>19</v>
      </c>
      <c r="G47" s="163"/>
      <c r="H47" s="162"/>
      <c r="I47" s="165">
        <f>A47+7</f>
        <v>45376</v>
      </c>
      <c r="J47" s="162"/>
      <c r="K47" s="165">
        <f>A47+28</f>
        <v>45397</v>
      </c>
      <c r="L47" s="163"/>
      <c r="M47" s="164"/>
      <c r="N47" s="164"/>
    </row>
    <row r="48" spans="1:14" x14ac:dyDescent="0.35">
      <c r="A48" s="97">
        <v>45369</v>
      </c>
      <c r="B48" s="98" t="s">
        <v>20</v>
      </c>
      <c r="C48" s="98" t="s">
        <v>48</v>
      </c>
      <c r="D48" s="98"/>
      <c r="E48" s="97" t="s">
        <v>27</v>
      </c>
      <c r="F48" s="98" t="s">
        <v>19</v>
      </c>
      <c r="G48" s="98"/>
      <c r="H48" s="97"/>
      <c r="I48" s="100"/>
      <c r="J48" s="97"/>
      <c r="K48" s="100"/>
      <c r="L48" s="98"/>
      <c r="M48" s="160"/>
      <c r="N48" s="160"/>
    </row>
    <row r="49" spans="1:11" x14ac:dyDescent="0.35">
      <c r="A49" s="21">
        <v>45370</v>
      </c>
      <c r="B49" s="20"/>
      <c r="C49" s="20"/>
      <c r="D49" s="20"/>
      <c r="E49" s="21" t="s">
        <v>28</v>
      </c>
      <c r="F49" s="20" t="s">
        <v>19</v>
      </c>
      <c r="G49" s="20"/>
      <c r="H49" s="21"/>
      <c r="J49" s="21"/>
      <c r="K49" s="55"/>
    </row>
    <row r="50" spans="1:11" x14ac:dyDescent="0.35">
      <c r="A50" s="21">
        <v>45371</v>
      </c>
      <c r="B50" s="20" t="s">
        <v>20</v>
      </c>
      <c r="C50" s="20" t="s">
        <v>36</v>
      </c>
      <c r="D50" s="20">
        <v>2</v>
      </c>
      <c r="E50" s="21" t="s">
        <v>28</v>
      </c>
      <c r="F50" s="20" t="s">
        <v>19</v>
      </c>
      <c r="G50" s="20"/>
      <c r="H50" s="21"/>
      <c r="J50" s="21"/>
      <c r="K50" s="55"/>
    </row>
    <row r="51" spans="1:11" x14ac:dyDescent="0.35">
      <c r="A51" s="21">
        <v>45372</v>
      </c>
      <c r="B51" s="20" t="s">
        <v>20</v>
      </c>
      <c r="C51" s="20" t="s">
        <v>36</v>
      </c>
      <c r="D51" s="20">
        <v>9</v>
      </c>
      <c r="E51" s="21" t="s">
        <v>27</v>
      </c>
      <c r="F51" s="20" t="s">
        <v>19</v>
      </c>
      <c r="G51" s="20"/>
      <c r="H51" s="20"/>
      <c r="J51" s="21"/>
    </row>
    <row r="52" spans="1:11" x14ac:dyDescent="0.35">
      <c r="A52" s="21">
        <v>45373</v>
      </c>
      <c r="B52" s="20" t="s">
        <v>20</v>
      </c>
      <c r="C52" s="20" t="s">
        <v>36</v>
      </c>
      <c r="D52" s="20">
        <v>27</v>
      </c>
      <c r="E52" s="21" t="s">
        <v>27</v>
      </c>
      <c r="F52" s="20" t="s">
        <v>19</v>
      </c>
      <c r="G52" s="20"/>
      <c r="H52" s="20"/>
      <c r="J52" s="21"/>
    </row>
    <row r="53" spans="1:11" x14ac:dyDescent="0.35">
      <c r="A53" s="21">
        <v>45374</v>
      </c>
      <c r="B53" s="20"/>
      <c r="C53" s="20" t="s">
        <v>37</v>
      </c>
      <c r="D53" s="20">
        <f>45-9</f>
        <v>36</v>
      </c>
      <c r="E53" s="21" t="s">
        <v>27</v>
      </c>
      <c r="F53" s="20" t="s">
        <v>19</v>
      </c>
      <c r="G53" s="20"/>
      <c r="H53" s="20"/>
      <c r="J53" s="21"/>
    </row>
    <row r="54" spans="1:11" x14ac:dyDescent="0.35">
      <c r="A54" s="21">
        <v>45374</v>
      </c>
      <c r="B54" s="20"/>
      <c r="C54" s="20" t="s">
        <v>37</v>
      </c>
      <c r="D54" s="20">
        <v>3</v>
      </c>
      <c r="E54" s="21" t="s">
        <v>27</v>
      </c>
      <c r="F54" s="20" t="s">
        <v>19</v>
      </c>
      <c r="G54" s="20"/>
      <c r="H54" s="20"/>
      <c r="J54" s="21"/>
    </row>
    <row r="55" spans="1:11" x14ac:dyDescent="0.35">
      <c r="A55" s="21">
        <f>A51+4</f>
        <v>45376</v>
      </c>
      <c r="B55" s="20" t="s">
        <v>20</v>
      </c>
      <c r="C55" s="20" t="s">
        <v>52</v>
      </c>
      <c r="D55" s="20">
        <v>25</v>
      </c>
      <c r="E55" s="21" t="s">
        <v>27</v>
      </c>
      <c r="F55" s="20" t="s">
        <v>19</v>
      </c>
      <c r="G55" s="20"/>
      <c r="H55" s="20"/>
      <c r="J55" s="21"/>
    </row>
    <row r="56" spans="1:11" x14ac:dyDescent="0.35">
      <c r="A56" s="21">
        <f>A52+4</f>
        <v>45377</v>
      </c>
      <c r="B56" s="20" t="s">
        <v>22</v>
      </c>
      <c r="C56" s="20"/>
      <c r="D56" s="20"/>
      <c r="E56" s="21"/>
      <c r="F56" s="20"/>
      <c r="G56" s="20"/>
      <c r="H56" s="20"/>
      <c r="J56" s="21"/>
    </row>
    <row r="57" spans="1:11" x14ac:dyDescent="0.35">
      <c r="A57" s="21">
        <f>A55+1</f>
        <v>45377</v>
      </c>
      <c r="B57" s="20"/>
      <c r="C57" s="20" t="s">
        <v>36</v>
      </c>
      <c r="D57" s="20"/>
      <c r="E57" s="21"/>
      <c r="F57" s="20"/>
      <c r="G57" s="20"/>
      <c r="H57" s="20"/>
      <c r="J57" s="21"/>
    </row>
    <row r="58" spans="1:11" x14ac:dyDescent="0.35">
      <c r="A58" s="21">
        <f>A57+1</f>
        <v>45378</v>
      </c>
      <c r="B58" s="20"/>
      <c r="C58" s="20" t="s">
        <v>36</v>
      </c>
      <c r="D58" s="20"/>
      <c r="E58" s="21"/>
      <c r="F58" s="20"/>
      <c r="G58" s="20"/>
      <c r="H58" s="20"/>
      <c r="J58" s="21"/>
    </row>
    <row r="59" spans="1:11" x14ac:dyDescent="0.35">
      <c r="A59" s="21">
        <f>A58+1</f>
        <v>45379</v>
      </c>
      <c r="B59" s="20"/>
      <c r="C59" s="20" t="s">
        <v>36</v>
      </c>
      <c r="D59" s="20"/>
      <c r="E59" s="21"/>
      <c r="F59" s="20"/>
      <c r="G59" s="20"/>
      <c r="H59" s="20"/>
      <c r="J59" s="21"/>
    </row>
    <row r="60" spans="1:11" x14ac:dyDescent="0.35">
      <c r="A60" s="21">
        <f>A59+1</f>
        <v>45380</v>
      </c>
      <c r="B60" s="20"/>
      <c r="C60" s="20" t="s">
        <v>36</v>
      </c>
      <c r="E60" s="21"/>
      <c r="F60" s="20"/>
      <c r="G60" s="20"/>
      <c r="H60" s="20"/>
      <c r="J60" s="21"/>
    </row>
    <row r="61" spans="1:11" x14ac:dyDescent="0.35">
      <c r="A61" s="21">
        <f>A60+1</f>
        <v>45381</v>
      </c>
      <c r="B61" s="20"/>
      <c r="C61" s="20" t="s">
        <v>36</v>
      </c>
      <c r="E61" s="21"/>
      <c r="F61" s="20"/>
      <c r="G61" s="20"/>
      <c r="H61" s="20"/>
      <c r="J61" s="21"/>
    </row>
    <row r="62" spans="1:11" x14ac:dyDescent="0.35">
      <c r="B62" s="20"/>
      <c r="D62" s="20">
        <f>SUM(D2:D42)</f>
        <v>1047.5</v>
      </c>
      <c r="F62" s="20"/>
      <c r="G62" s="20"/>
      <c r="H62" s="20"/>
      <c r="J62" s="21"/>
    </row>
    <row r="63" spans="1:11" x14ac:dyDescent="0.35">
      <c r="B63" s="20"/>
      <c r="F63" s="20"/>
      <c r="G63" s="20"/>
      <c r="H63" s="20"/>
      <c r="J63" s="21"/>
    </row>
    <row r="64" spans="1:11" x14ac:dyDescent="0.35">
      <c r="B64" s="20"/>
      <c r="F64" s="20"/>
      <c r="G64" s="20"/>
      <c r="H64" s="20"/>
      <c r="J64" s="21"/>
    </row>
    <row r="65" spans="2:10" x14ac:dyDescent="0.35">
      <c r="B65" s="20"/>
      <c r="F65" s="20"/>
      <c r="G65" s="20"/>
      <c r="H65" s="20"/>
      <c r="J65" s="21"/>
    </row>
    <row r="66" spans="2:10" x14ac:dyDescent="0.35">
      <c r="B66" s="20"/>
      <c r="F66" s="20"/>
      <c r="G66" s="20"/>
      <c r="H66" s="20"/>
      <c r="J66" s="21"/>
    </row>
    <row r="67" spans="2:10" x14ac:dyDescent="0.35">
      <c r="B67" s="20"/>
      <c r="F67" s="20"/>
      <c r="G67" s="20"/>
      <c r="H67" s="20"/>
      <c r="J67" s="21"/>
    </row>
    <row r="68" spans="2:10" x14ac:dyDescent="0.35">
      <c r="B68" s="20"/>
      <c r="F68" s="20"/>
      <c r="G68" s="20"/>
      <c r="H68" s="20"/>
      <c r="J68" s="21"/>
    </row>
    <row r="69" spans="2:10" x14ac:dyDescent="0.35">
      <c r="B69" s="20"/>
      <c r="F69" s="20"/>
      <c r="G69" s="20"/>
      <c r="H69" s="20"/>
      <c r="J69" s="21"/>
    </row>
    <row r="70" spans="2:10" x14ac:dyDescent="0.35">
      <c r="B70" s="20"/>
      <c r="F70" s="20"/>
      <c r="G70" s="20"/>
      <c r="H70" s="20"/>
      <c r="J70" s="21"/>
    </row>
    <row r="71" spans="2:10" x14ac:dyDescent="0.35">
      <c r="B71" s="20"/>
      <c r="F71" s="20"/>
      <c r="G71" s="20"/>
      <c r="H71" s="20"/>
      <c r="J71" s="21"/>
    </row>
    <row r="72" spans="2:10" x14ac:dyDescent="0.35">
      <c r="B72" s="20"/>
      <c r="F72" s="20"/>
      <c r="G72" s="20"/>
      <c r="H72" s="20"/>
      <c r="J72" s="21"/>
    </row>
    <row r="73" spans="2:10" x14ac:dyDescent="0.35">
      <c r="B73" s="20"/>
      <c r="F73" s="20"/>
      <c r="G73" s="20"/>
      <c r="H73" s="20"/>
      <c r="J73" s="21"/>
    </row>
    <row r="74" spans="2:10" x14ac:dyDescent="0.35">
      <c r="B74" s="20"/>
      <c r="F74" s="20"/>
      <c r="G74" s="20"/>
      <c r="H74" s="20"/>
      <c r="J74" s="21"/>
    </row>
    <row r="75" spans="2:10" x14ac:dyDescent="0.35">
      <c r="B75" s="20"/>
      <c r="F75" s="20"/>
      <c r="G75" s="20"/>
      <c r="H75" s="20"/>
      <c r="J75" s="21"/>
    </row>
    <row r="76" spans="2:10" x14ac:dyDescent="0.35">
      <c r="B76" s="20"/>
      <c r="F76" s="20"/>
      <c r="G76" s="20"/>
      <c r="H76" s="20"/>
      <c r="J76" s="21"/>
    </row>
    <row r="77" spans="2:10" x14ac:dyDescent="0.35">
      <c r="B77" s="20"/>
      <c r="F77" s="20"/>
      <c r="G77" s="20"/>
      <c r="H77" s="20"/>
      <c r="J77" s="21"/>
    </row>
    <row r="78" spans="2:10" x14ac:dyDescent="0.35">
      <c r="B78" s="20"/>
      <c r="F78" s="20"/>
      <c r="G78" s="20"/>
      <c r="H78" s="20"/>
      <c r="J78" s="21"/>
    </row>
    <row r="79" spans="2:10" x14ac:dyDescent="0.35">
      <c r="B79" s="20"/>
      <c r="F79" s="20"/>
      <c r="G79" s="20"/>
      <c r="H79" s="20"/>
      <c r="J79" s="21"/>
    </row>
    <row r="80" spans="2:10" x14ac:dyDescent="0.35">
      <c r="B80" s="20"/>
      <c r="F80" s="20"/>
      <c r="G80" s="20"/>
      <c r="H80" s="20"/>
      <c r="J80" s="21"/>
    </row>
    <row r="81" spans="2:10" x14ac:dyDescent="0.35">
      <c r="B81" s="20"/>
      <c r="F81" s="20"/>
      <c r="G81" s="20"/>
      <c r="H81" s="20"/>
      <c r="J81" s="21"/>
    </row>
    <row r="82" spans="2:10" x14ac:dyDescent="0.35">
      <c r="B82" s="20"/>
      <c r="F82" s="20"/>
      <c r="G82" s="20"/>
      <c r="H82" s="20"/>
      <c r="J82" s="21"/>
    </row>
    <row r="83" spans="2:10" x14ac:dyDescent="0.35">
      <c r="B83" s="20"/>
      <c r="F83" s="20"/>
      <c r="G83" s="20"/>
      <c r="H83" s="20"/>
      <c r="J83" s="21"/>
    </row>
    <row r="84" spans="2:10" x14ac:dyDescent="0.35">
      <c r="B84" s="20"/>
      <c r="F84" s="20"/>
      <c r="G84" s="20"/>
      <c r="H84" s="20"/>
      <c r="J84" s="21"/>
    </row>
    <row r="85" spans="2:10" x14ac:dyDescent="0.35">
      <c r="B85" s="20"/>
      <c r="F85" s="20"/>
      <c r="G85" s="20"/>
      <c r="H85" s="20"/>
      <c r="J85" s="21"/>
    </row>
    <row r="86" spans="2:10" x14ac:dyDescent="0.35">
      <c r="B86" s="20"/>
      <c r="F86" s="20"/>
      <c r="G86" s="20"/>
      <c r="H86" s="20"/>
      <c r="J86" s="21"/>
    </row>
    <row r="87" spans="2:10" x14ac:dyDescent="0.35">
      <c r="B87" s="20"/>
      <c r="F87" s="20"/>
      <c r="G87" s="20"/>
      <c r="H87" s="20"/>
      <c r="J87" s="21"/>
    </row>
    <row r="88" spans="2:10" x14ac:dyDescent="0.35">
      <c r="B88" s="20"/>
      <c r="F88" s="20"/>
      <c r="G88" s="20"/>
      <c r="H88" s="20"/>
      <c r="J88" s="21"/>
    </row>
    <row r="89" spans="2:10" x14ac:dyDescent="0.35">
      <c r="B89" s="20"/>
      <c r="F89" s="20"/>
      <c r="G89" s="20"/>
      <c r="H89" s="20"/>
      <c r="J89" s="21"/>
    </row>
    <row r="90" spans="2:10" x14ac:dyDescent="0.35">
      <c r="B90" s="20"/>
      <c r="F90" s="20"/>
      <c r="G90" s="20"/>
      <c r="H90" s="20"/>
      <c r="J90" s="21"/>
    </row>
    <row r="91" spans="2:10" x14ac:dyDescent="0.35">
      <c r="B91" s="20"/>
      <c r="F91" s="20"/>
      <c r="G91" s="20"/>
      <c r="H91" s="20"/>
      <c r="J91" s="21"/>
    </row>
    <row r="92" spans="2:10" x14ac:dyDescent="0.35">
      <c r="B92" s="20"/>
      <c r="F92" s="20"/>
      <c r="G92" s="20"/>
      <c r="H92" s="20"/>
    </row>
    <row r="93" spans="2:10" x14ac:dyDescent="0.35">
      <c r="B93" s="20"/>
      <c r="F93" s="20"/>
      <c r="G93" s="20"/>
      <c r="H93" s="20"/>
    </row>
    <row r="94" spans="2:10" x14ac:dyDescent="0.35">
      <c r="F94" s="20"/>
      <c r="G94" s="20"/>
      <c r="H94" s="20"/>
    </row>
    <row r="95" spans="2:10" x14ac:dyDescent="0.35">
      <c r="F95" s="20"/>
      <c r="G95" s="20"/>
      <c r="H95" s="20"/>
    </row>
  </sheetData>
  <phoneticPr fontId="3" type="noConversion"/>
  <conditionalFormatting sqref="F2:G50 F51:H95">
    <cfRule type="cellIs" dxfId="4" priority="11" operator="equal">
      <formula>"Canceled"</formula>
    </cfRule>
  </conditionalFormatting>
  <conditionalFormatting sqref="G2:G12 I13:I164">
    <cfRule type="cellIs" dxfId="3" priority="10" operator="greaterThan">
      <formula>(TODAY)</formula>
    </cfRule>
  </conditionalFormatting>
  <conditionalFormatting sqref="H2:H50 E2:E61 J2:J87 L2:L90">
    <cfRule type="containsText" dxfId="2" priority="8" operator="containsText" text="No">
      <formula>NOT(ISERROR(SEARCH("No",E2)))</formula>
    </cfRule>
  </conditionalFormatting>
  <dataValidations count="5">
    <dataValidation type="list" allowBlank="1" showInputMessage="1" showErrorMessage="1" sqref="H51:H95 G91:G95 F1:F95" xr:uid="{21E16E92-B86A-48E1-9440-AE8F3F60834D}">
      <formula1>$V$1:$V$2</formula1>
    </dataValidation>
    <dataValidation type="list" allowBlank="1" showInputMessage="1" showErrorMessage="1" sqref="B1:B17 B24:B93" xr:uid="{72FAC0C0-4728-488F-8614-6DABC2900A3F}">
      <formula1>$U$1:$U$5</formula1>
    </dataValidation>
    <dataValidation type="list" allowBlank="1" showInputMessage="1" showErrorMessage="1" sqref="J13:J91 N2:N23 J7:J9 L2:L213 H2:H50 E2:E61" xr:uid="{2A2BFD64-0F16-4E9A-9282-A4500182780B}">
      <formula1>$T$2:$T$3</formula1>
    </dataValidation>
    <dataValidation type="list" allowBlank="1" showInputMessage="1" showErrorMessage="1" sqref="B18:B19 B21:B23" xr:uid="{0B00419E-A457-4B66-872C-406654F6ED10}">
      <formula1>$U$1:$U$6</formula1>
    </dataValidation>
    <dataValidation type="list" allowBlank="1" showInputMessage="1" showErrorMessage="1" sqref="B20" xr:uid="{A050306E-FB97-4C0D-BA06-E37C5E0C5045}">
      <formula1>$U$1:$U$7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E46FACBF-EC2A-4707-854D-F789348784BB}">
            <xm:f>NOT(ISERROR(SEARCH("No",N2)))</xm:f>
            <xm:f>"No"</xm:f>
            <x14:dxf>
              <font>
                <color rgb="FFFF0000"/>
              </font>
            </x14:dxf>
          </x14:cfRule>
          <xm:sqref>N2:N42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02648-736B-4930-94AB-CCA733A92B53}">
  <sheetPr codeName="Sheet4">
    <pageSetUpPr fitToPage="1"/>
  </sheetPr>
  <dimension ref="A1:O45"/>
  <sheetViews>
    <sheetView topLeftCell="A27" zoomScale="115" zoomScaleNormal="115" workbookViewId="0">
      <selection activeCell="A51" sqref="A51"/>
    </sheetView>
  </sheetViews>
  <sheetFormatPr defaultRowHeight="14.5" x14ac:dyDescent="0.35"/>
  <cols>
    <col min="1" max="1" width="31.54296875" bestFit="1" customWidth="1"/>
    <col min="2" max="2" width="9.54296875" bestFit="1" customWidth="1"/>
    <col min="4" max="4" width="10.26953125" bestFit="1" customWidth="1"/>
    <col min="8" max="8" width="10.54296875" bestFit="1" customWidth="1"/>
    <col min="11" max="11" width="0" hidden="1" customWidth="1"/>
    <col min="14" max="14" width="37.54296875" bestFit="1" customWidth="1"/>
  </cols>
  <sheetData>
    <row r="1" spans="1:15" ht="26.5" thickBot="1" x14ac:dyDescent="0.4">
      <c r="A1" s="76" t="s">
        <v>6</v>
      </c>
      <c r="B1" s="133" t="s">
        <v>0</v>
      </c>
      <c r="C1" s="73" t="s">
        <v>9</v>
      </c>
      <c r="D1" s="73" t="s">
        <v>12</v>
      </c>
      <c r="E1" s="73" t="s">
        <v>13</v>
      </c>
      <c r="F1" s="75" t="s">
        <v>3</v>
      </c>
      <c r="G1" s="77" t="s">
        <v>10</v>
      </c>
      <c r="H1" s="74" t="s">
        <v>11</v>
      </c>
      <c r="I1" s="73" t="s">
        <v>7</v>
      </c>
      <c r="J1" s="35" t="s">
        <v>1</v>
      </c>
      <c r="K1" s="35" t="s">
        <v>38</v>
      </c>
      <c r="L1" s="71" t="s">
        <v>39</v>
      </c>
      <c r="M1" s="138" t="s">
        <v>2</v>
      </c>
      <c r="N1" s="72" t="s">
        <v>8</v>
      </c>
    </row>
    <row r="2" spans="1:15" ht="15" hidden="1" thickTop="1" x14ac:dyDescent="0.35">
      <c r="A2" s="473" t="s">
        <v>35</v>
      </c>
      <c r="B2" s="476">
        <v>45331</v>
      </c>
      <c r="C2" s="417" t="s">
        <v>34</v>
      </c>
      <c r="D2" s="417" t="s">
        <v>20</v>
      </c>
      <c r="E2" s="417" t="s">
        <v>36</v>
      </c>
      <c r="F2" s="418">
        <v>9</v>
      </c>
      <c r="G2" s="17" t="s">
        <v>4</v>
      </c>
      <c r="H2" s="57">
        <v>45336</v>
      </c>
      <c r="I2" s="17">
        <v>5</v>
      </c>
      <c r="J2" s="137">
        <v>2790</v>
      </c>
      <c r="K2" s="69">
        <v>3</v>
      </c>
      <c r="L2" s="19">
        <v>4000</v>
      </c>
      <c r="M2" s="70" t="s">
        <v>50</v>
      </c>
      <c r="N2" s="58" t="s">
        <v>51</v>
      </c>
    </row>
    <row r="3" spans="1:15" hidden="1" x14ac:dyDescent="0.35">
      <c r="A3" s="474"/>
      <c r="B3" s="477"/>
      <c r="C3" s="355"/>
      <c r="D3" s="355"/>
      <c r="E3" s="355"/>
      <c r="F3" s="393"/>
      <c r="G3" s="145" t="s">
        <v>5</v>
      </c>
      <c r="H3" s="110">
        <v>45359</v>
      </c>
      <c r="I3" s="116">
        <v>28</v>
      </c>
      <c r="J3" s="154">
        <v>5290</v>
      </c>
      <c r="K3" s="148"/>
      <c r="L3" s="149">
        <v>4000</v>
      </c>
      <c r="M3" s="150" t="str">
        <f>IF(J3&gt;=L3,"Pass","Fail")</f>
        <v>Pass</v>
      </c>
      <c r="N3" s="151"/>
    </row>
    <row r="4" spans="1:15" ht="15" hidden="1" thickBot="1" x14ac:dyDescent="0.4">
      <c r="A4" s="475"/>
      <c r="B4" s="478"/>
      <c r="C4" s="356"/>
      <c r="D4" s="356"/>
      <c r="E4" s="356"/>
      <c r="F4" s="394"/>
      <c r="G4" s="107" t="s">
        <v>42</v>
      </c>
      <c r="H4" s="25">
        <v>45359</v>
      </c>
      <c r="I4" s="12">
        <v>28</v>
      </c>
      <c r="J4" s="153">
        <v>5300</v>
      </c>
      <c r="K4" s="67"/>
      <c r="L4" s="13">
        <v>4000</v>
      </c>
      <c r="M4" s="80" t="str">
        <f>IF(J4&gt;=L4,"Pass","Fail")</f>
        <v>Pass</v>
      </c>
      <c r="N4" s="14"/>
    </row>
    <row r="5" spans="1:15" ht="15" thickTop="1" x14ac:dyDescent="0.35">
      <c r="A5" s="474"/>
      <c r="B5" s="477"/>
      <c r="C5" s="417"/>
      <c r="D5" s="355"/>
      <c r="E5" s="355"/>
      <c r="F5" s="393"/>
      <c r="G5" s="18"/>
      <c r="H5" s="24"/>
      <c r="I5" s="9"/>
      <c r="J5" s="128"/>
      <c r="K5" s="10"/>
      <c r="L5" s="11"/>
      <c r="M5" s="82"/>
      <c r="N5" s="78"/>
      <c r="O5" t="s">
        <v>53</v>
      </c>
    </row>
    <row r="6" spans="1:15" x14ac:dyDescent="0.35">
      <c r="A6" s="474"/>
      <c r="B6" s="477"/>
      <c r="C6" s="355"/>
      <c r="D6" s="355"/>
      <c r="E6" s="355"/>
      <c r="F6" s="393"/>
      <c r="G6" s="159"/>
      <c r="H6" s="28"/>
      <c r="I6" s="27"/>
      <c r="J6" s="131"/>
      <c r="K6" s="172"/>
      <c r="L6" s="29"/>
      <c r="M6" s="85"/>
      <c r="N6" s="30"/>
    </row>
    <row r="7" spans="1:15" x14ac:dyDescent="0.35">
      <c r="A7" s="474"/>
      <c r="B7" s="477"/>
      <c r="C7" s="355"/>
      <c r="D7" s="355"/>
      <c r="E7" s="355"/>
      <c r="F7" s="393"/>
      <c r="G7" s="159"/>
      <c r="H7" s="28"/>
      <c r="I7" s="27"/>
      <c r="J7" s="131"/>
      <c r="K7" s="172"/>
      <c r="L7" s="29"/>
      <c r="M7" s="85"/>
      <c r="N7" s="30"/>
    </row>
    <row r="8" spans="1:15" ht="15" thickBot="1" x14ac:dyDescent="0.4">
      <c r="A8" s="474"/>
      <c r="B8" s="477"/>
      <c r="C8" s="356"/>
      <c r="D8" s="355"/>
      <c r="E8" s="355"/>
      <c r="F8" s="393"/>
      <c r="G8" s="59"/>
      <c r="H8" s="25"/>
      <c r="I8" s="12"/>
      <c r="J8" s="34"/>
      <c r="K8" s="177"/>
      <c r="L8" s="13"/>
      <c r="M8" s="84"/>
      <c r="N8" s="14"/>
    </row>
    <row r="9" spans="1:15" ht="15.75" customHeight="1" thickTop="1" x14ac:dyDescent="0.35">
      <c r="A9" s="479"/>
      <c r="B9" s="482"/>
      <c r="C9" s="350"/>
      <c r="D9" s="350"/>
      <c r="E9" s="350"/>
      <c r="F9" s="360"/>
      <c r="G9" s="56"/>
      <c r="H9" s="46"/>
      <c r="I9" s="45"/>
      <c r="J9" s="134"/>
      <c r="K9" s="47"/>
      <c r="L9" s="48"/>
      <c r="M9" s="86"/>
      <c r="N9" s="49"/>
    </row>
    <row r="10" spans="1:15" x14ac:dyDescent="0.35">
      <c r="A10" s="480"/>
      <c r="B10" s="483"/>
      <c r="C10" s="351"/>
      <c r="D10" s="351"/>
      <c r="E10" s="351"/>
      <c r="F10" s="361"/>
      <c r="G10" s="122"/>
      <c r="H10" s="89"/>
      <c r="I10" s="90"/>
      <c r="J10" s="135"/>
      <c r="K10" s="167"/>
      <c r="L10" s="91"/>
      <c r="M10" s="132"/>
      <c r="N10" s="92"/>
    </row>
    <row r="11" spans="1:15" x14ac:dyDescent="0.35">
      <c r="A11" s="480"/>
      <c r="B11" s="483"/>
      <c r="C11" s="351"/>
      <c r="D11" s="351"/>
      <c r="E11" s="351"/>
      <c r="F11" s="361"/>
      <c r="G11" s="122"/>
      <c r="H11" s="89"/>
      <c r="I11" s="90"/>
      <c r="J11" s="135"/>
      <c r="K11" s="167"/>
      <c r="L11" s="91"/>
      <c r="M11" s="132"/>
      <c r="N11" s="92"/>
    </row>
    <row r="12" spans="1:15" ht="15" thickBot="1" x14ac:dyDescent="0.4">
      <c r="A12" s="481"/>
      <c r="B12" s="484"/>
      <c r="C12" s="352"/>
      <c r="D12" s="352"/>
      <c r="E12" s="352"/>
      <c r="F12" s="362"/>
      <c r="G12" s="87"/>
      <c r="H12" s="51"/>
      <c r="I12" s="50"/>
      <c r="J12" s="136"/>
      <c r="K12" s="52"/>
      <c r="L12" s="53"/>
      <c r="M12" s="88"/>
      <c r="N12" s="54"/>
    </row>
    <row r="13" spans="1:15" ht="15.75" customHeight="1" thickTop="1" x14ac:dyDescent="0.35">
      <c r="A13" s="473"/>
      <c r="B13" s="476"/>
      <c r="C13" s="417"/>
      <c r="D13" s="417"/>
      <c r="E13" s="417"/>
      <c r="F13" s="418"/>
      <c r="G13" s="18"/>
      <c r="H13" s="24"/>
      <c r="I13" s="9"/>
      <c r="J13" s="128"/>
      <c r="K13" s="10"/>
      <c r="L13" s="11"/>
      <c r="M13" s="139"/>
      <c r="N13" s="78"/>
      <c r="O13" t="s">
        <v>53</v>
      </c>
    </row>
    <row r="14" spans="1:15" x14ac:dyDescent="0.35">
      <c r="A14" s="474"/>
      <c r="B14" s="477"/>
      <c r="C14" s="355"/>
      <c r="D14" s="355"/>
      <c r="E14" s="355"/>
      <c r="F14" s="393"/>
      <c r="G14" s="159"/>
      <c r="H14" s="28"/>
      <c r="I14" s="27"/>
      <c r="J14" s="131"/>
      <c r="K14" s="172"/>
      <c r="L14" s="29"/>
      <c r="M14" s="85"/>
      <c r="N14" s="30"/>
    </row>
    <row r="15" spans="1:15" x14ac:dyDescent="0.35">
      <c r="A15" s="474"/>
      <c r="B15" s="477"/>
      <c r="C15" s="355"/>
      <c r="D15" s="355"/>
      <c r="E15" s="355"/>
      <c r="F15" s="393"/>
      <c r="G15" s="159"/>
      <c r="H15" s="28"/>
      <c r="I15" s="27"/>
      <c r="J15" s="131"/>
      <c r="K15" s="172"/>
      <c r="L15" s="29"/>
      <c r="M15" s="85"/>
      <c r="N15" s="30"/>
    </row>
    <row r="16" spans="1:15" ht="15" thickBot="1" x14ac:dyDescent="0.4">
      <c r="A16" s="475"/>
      <c r="B16" s="478"/>
      <c r="C16" s="356"/>
      <c r="D16" s="356"/>
      <c r="E16" s="356"/>
      <c r="F16" s="394"/>
      <c r="G16" s="59"/>
      <c r="H16" s="25"/>
      <c r="I16" s="12"/>
      <c r="J16" s="34"/>
      <c r="K16" s="177"/>
      <c r="L16" s="13"/>
      <c r="M16" s="84"/>
      <c r="N16" s="14"/>
    </row>
    <row r="17" spans="1:15" ht="15.75" customHeight="1" thickTop="1" x14ac:dyDescent="0.35">
      <c r="A17" s="466"/>
      <c r="B17" s="469"/>
      <c r="C17" s="433"/>
      <c r="D17" s="433"/>
      <c r="E17" s="433"/>
      <c r="F17" s="472"/>
      <c r="G17" s="62"/>
      <c r="H17" s="38"/>
      <c r="I17" s="37"/>
      <c r="J17" s="64"/>
      <c r="K17" s="176"/>
      <c r="L17" s="39"/>
      <c r="M17" s="83"/>
      <c r="N17" s="40"/>
      <c r="O17" t="s">
        <v>53</v>
      </c>
    </row>
    <row r="18" spans="1:15" x14ac:dyDescent="0.35">
      <c r="A18" s="467"/>
      <c r="B18" s="470"/>
      <c r="C18" s="434"/>
      <c r="D18" s="434"/>
      <c r="E18" s="434"/>
      <c r="F18" s="438"/>
      <c r="G18" s="122"/>
      <c r="H18" s="89"/>
      <c r="I18" s="90"/>
      <c r="J18" s="135"/>
      <c r="K18" s="167"/>
      <c r="L18" s="91"/>
      <c r="M18" s="132"/>
      <c r="N18" s="92"/>
    </row>
    <row r="19" spans="1:15" x14ac:dyDescent="0.35">
      <c r="A19" s="467"/>
      <c r="B19" s="470"/>
      <c r="C19" s="434"/>
      <c r="D19" s="434"/>
      <c r="E19" s="434"/>
      <c r="F19" s="438"/>
      <c r="G19" s="122"/>
      <c r="H19" s="89"/>
      <c r="I19" s="90"/>
      <c r="J19" s="135"/>
      <c r="K19" s="167"/>
      <c r="L19" s="91"/>
      <c r="M19" s="132"/>
      <c r="N19" s="92"/>
    </row>
    <row r="20" spans="1:15" ht="15" thickBot="1" x14ac:dyDescent="0.4">
      <c r="A20" s="468"/>
      <c r="B20" s="471"/>
      <c r="C20" s="414"/>
      <c r="D20" s="414"/>
      <c r="E20" s="414"/>
      <c r="F20" s="416"/>
      <c r="G20" s="87"/>
      <c r="H20" s="51"/>
      <c r="I20" s="50"/>
      <c r="J20" s="136"/>
      <c r="K20" s="52"/>
      <c r="L20" s="53"/>
      <c r="M20" s="88"/>
      <c r="N20" s="54"/>
    </row>
    <row r="21" spans="1:15" ht="15" thickTop="1" x14ac:dyDescent="0.35">
      <c r="A21" s="473"/>
      <c r="B21" s="476"/>
      <c r="C21" s="417"/>
      <c r="D21" s="417"/>
      <c r="E21" s="417"/>
      <c r="F21" s="418"/>
      <c r="G21" s="168"/>
      <c r="H21" s="180"/>
      <c r="I21" s="17"/>
      <c r="J21" s="32"/>
      <c r="K21" s="170"/>
      <c r="L21" s="19"/>
      <c r="M21" s="171"/>
      <c r="N21" s="58"/>
    </row>
    <row r="22" spans="1:15" x14ac:dyDescent="0.35">
      <c r="A22" s="474"/>
      <c r="B22" s="477"/>
      <c r="C22" s="355"/>
      <c r="D22" s="355"/>
      <c r="E22" s="355"/>
      <c r="F22" s="393"/>
      <c r="G22" s="159"/>
      <c r="H22" s="28"/>
      <c r="I22" s="27"/>
      <c r="J22" s="131"/>
      <c r="K22" s="172"/>
      <c r="L22" s="29"/>
      <c r="M22" s="85"/>
      <c r="N22" s="30"/>
    </row>
    <row r="23" spans="1:15" x14ac:dyDescent="0.35">
      <c r="A23" s="474"/>
      <c r="B23" s="477"/>
      <c r="C23" s="355"/>
      <c r="D23" s="355"/>
      <c r="E23" s="355"/>
      <c r="F23" s="393"/>
      <c r="G23" s="140"/>
      <c r="H23" s="24"/>
      <c r="I23" s="15"/>
      <c r="J23" s="120"/>
      <c r="K23" s="94"/>
      <c r="L23" s="16"/>
      <c r="M23" s="85"/>
      <c r="N23" s="95"/>
    </row>
    <row r="24" spans="1:15" ht="15" thickBot="1" x14ac:dyDescent="0.4">
      <c r="A24" s="475"/>
      <c r="B24" s="478"/>
      <c r="C24" s="356"/>
      <c r="D24" s="356"/>
      <c r="E24" s="356"/>
      <c r="F24" s="394"/>
      <c r="G24" s="59"/>
      <c r="H24" s="25"/>
      <c r="I24" s="12"/>
      <c r="J24" s="34"/>
      <c r="K24" s="177"/>
      <c r="L24" s="13"/>
      <c r="M24" s="84"/>
      <c r="N24" s="14"/>
    </row>
    <row r="25" spans="1:15" ht="15" thickTop="1" x14ac:dyDescent="0.35">
      <c r="A25" s="480"/>
      <c r="B25" s="483"/>
      <c r="C25" s="350"/>
      <c r="D25" s="351"/>
      <c r="E25" s="351"/>
      <c r="F25" s="361"/>
      <c r="G25" s="62"/>
      <c r="H25" s="38"/>
      <c r="I25" s="37"/>
      <c r="J25" s="64"/>
      <c r="K25" s="176"/>
      <c r="L25" s="39"/>
      <c r="M25" s="166"/>
      <c r="N25" s="40"/>
    </row>
    <row r="26" spans="1:15" x14ac:dyDescent="0.35">
      <c r="A26" s="480"/>
      <c r="B26" s="483"/>
      <c r="C26" s="351"/>
      <c r="D26" s="351"/>
      <c r="E26" s="351"/>
      <c r="F26" s="361"/>
      <c r="G26" s="62"/>
      <c r="H26" s="38"/>
      <c r="I26" s="37"/>
      <c r="J26" s="64"/>
      <c r="K26" s="176"/>
      <c r="L26" s="39"/>
      <c r="M26" s="166"/>
      <c r="N26" s="40"/>
    </row>
    <row r="27" spans="1:15" x14ac:dyDescent="0.35">
      <c r="A27" s="480"/>
      <c r="B27" s="483"/>
      <c r="C27" s="351"/>
      <c r="D27" s="351"/>
      <c r="E27" s="351"/>
      <c r="F27" s="361"/>
      <c r="G27" s="62"/>
      <c r="H27" s="38"/>
      <c r="I27" s="37"/>
      <c r="J27" s="64"/>
      <c r="K27" s="176"/>
      <c r="L27" s="39"/>
      <c r="M27" s="166"/>
      <c r="N27" s="40"/>
    </row>
    <row r="28" spans="1:15" x14ac:dyDescent="0.35">
      <c r="A28" s="480"/>
      <c r="B28" s="483"/>
      <c r="C28" s="351"/>
      <c r="D28" s="351"/>
      <c r="E28" s="351"/>
      <c r="F28" s="361"/>
      <c r="G28" s="122"/>
      <c r="H28" s="38"/>
      <c r="I28" s="90"/>
      <c r="J28" s="135"/>
      <c r="K28" s="167"/>
      <c r="L28" s="91"/>
      <c r="M28" s="166"/>
      <c r="N28" s="92"/>
    </row>
    <row r="29" spans="1:15" x14ac:dyDescent="0.35">
      <c r="A29" s="480"/>
      <c r="B29" s="483"/>
      <c r="C29" s="351"/>
      <c r="D29" s="351"/>
      <c r="E29" s="351"/>
      <c r="F29" s="361"/>
      <c r="G29" s="122"/>
      <c r="H29" s="89"/>
      <c r="I29" s="90"/>
      <c r="J29" s="135"/>
      <c r="K29" s="167"/>
      <c r="L29" s="91"/>
      <c r="M29" s="166"/>
      <c r="N29" s="92"/>
    </row>
    <row r="30" spans="1:15" x14ac:dyDescent="0.35">
      <c r="A30" s="480"/>
      <c r="B30" s="483"/>
      <c r="C30" s="351"/>
      <c r="D30" s="351"/>
      <c r="E30" s="351"/>
      <c r="F30" s="361"/>
      <c r="G30" s="63"/>
      <c r="H30" s="89"/>
      <c r="I30" s="41"/>
      <c r="J30" s="66"/>
      <c r="K30" s="169"/>
      <c r="L30" s="43"/>
      <c r="M30" s="166"/>
      <c r="N30" s="44"/>
    </row>
    <row r="31" spans="1:15" x14ac:dyDescent="0.35">
      <c r="A31" s="480"/>
      <c r="B31" s="483"/>
      <c r="C31" s="351"/>
      <c r="D31" s="351"/>
      <c r="E31" s="351"/>
      <c r="F31" s="361"/>
      <c r="G31" s="63"/>
      <c r="H31" s="42"/>
      <c r="I31" s="41"/>
      <c r="J31" s="66"/>
      <c r="K31" s="169"/>
      <c r="L31" s="43"/>
      <c r="M31" s="166"/>
      <c r="N31" s="44"/>
    </row>
    <row r="32" spans="1:15" x14ac:dyDescent="0.35">
      <c r="A32" s="480"/>
      <c r="B32" s="483"/>
      <c r="C32" s="351"/>
      <c r="D32" s="351"/>
      <c r="E32" s="351"/>
      <c r="F32" s="361"/>
      <c r="G32" s="63"/>
      <c r="H32" s="42"/>
      <c r="I32" s="41"/>
      <c r="J32" s="66"/>
      <c r="K32" s="169"/>
      <c r="L32" s="43"/>
      <c r="M32" s="166"/>
      <c r="N32" s="44"/>
    </row>
    <row r="33" spans="1:14" x14ac:dyDescent="0.35">
      <c r="A33" s="480"/>
      <c r="B33" s="483"/>
      <c r="C33" s="351"/>
      <c r="D33" s="351"/>
      <c r="E33" s="351"/>
      <c r="F33" s="361"/>
      <c r="G33" s="63"/>
      <c r="H33" s="42"/>
      <c r="I33" s="41"/>
      <c r="J33" s="66"/>
      <c r="K33" s="169"/>
      <c r="L33" s="43"/>
      <c r="M33" s="166"/>
      <c r="N33" s="44"/>
    </row>
    <row r="34" spans="1:14" ht="15" thickBot="1" x14ac:dyDescent="0.4">
      <c r="A34" s="481"/>
      <c r="B34" s="484"/>
      <c r="C34" s="352"/>
      <c r="D34" s="352"/>
      <c r="E34" s="352"/>
      <c r="F34" s="362"/>
      <c r="G34" s="87"/>
      <c r="H34" s="51"/>
      <c r="I34" s="50"/>
      <c r="J34" s="136"/>
      <c r="K34" s="52"/>
      <c r="L34" s="53"/>
      <c r="M34" s="88"/>
      <c r="N34" s="54"/>
    </row>
    <row r="35" spans="1:14" ht="15" thickTop="1" x14ac:dyDescent="0.35">
      <c r="A35" s="474"/>
      <c r="B35" s="477"/>
      <c r="C35" s="417"/>
      <c r="D35" s="355"/>
      <c r="E35" s="355"/>
      <c r="F35" s="393"/>
      <c r="G35" s="18"/>
      <c r="H35" s="24"/>
      <c r="I35" s="9"/>
      <c r="J35" s="128"/>
      <c r="K35" s="10"/>
      <c r="L35" s="11"/>
      <c r="M35" s="139"/>
      <c r="N35" s="78"/>
    </row>
    <row r="36" spans="1:14" x14ac:dyDescent="0.35">
      <c r="A36" s="474"/>
      <c r="B36" s="477"/>
      <c r="C36" s="355"/>
      <c r="D36" s="355"/>
      <c r="E36" s="355"/>
      <c r="F36" s="393"/>
      <c r="G36" s="18"/>
      <c r="H36" s="24"/>
      <c r="I36" s="9"/>
      <c r="J36" s="128"/>
      <c r="K36" s="10"/>
      <c r="L36" s="11"/>
      <c r="M36" s="139"/>
      <c r="N36" s="78"/>
    </row>
    <row r="37" spans="1:14" x14ac:dyDescent="0.35">
      <c r="A37" s="474"/>
      <c r="B37" s="477"/>
      <c r="C37" s="355"/>
      <c r="D37" s="355"/>
      <c r="E37" s="355"/>
      <c r="F37" s="393"/>
      <c r="G37" s="18"/>
      <c r="H37" s="24"/>
      <c r="I37" s="9"/>
      <c r="J37" s="128"/>
      <c r="K37" s="10"/>
      <c r="L37" s="11"/>
      <c r="M37" s="139"/>
      <c r="N37" s="78"/>
    </row>
    <row r="38" spans="1:14" x14ac:dyDescent="0.35">
      <c r="A38" s="474"/>
      <c r="B38" s="477"/>
      <c r="C38" s="355"/>
      <c r="D38" s="355"/>
      <c r="E38" s="355"/>
      <c r="F38" s="393"/>
      <c r="G38" s="159"/>
      <c r="H38" s="24"/>
      <c r="I38" s="27"/>
      <c r="J38" s="131"/>
      <c r="K38" s="172"/>
      <c r="L38" s="29"/>
      <c r="M38" s="85"/>
      <c r="N38" s="30"/>
    </row>
    <row r="39" spans="1:14" x14ac:dyDescent="0.35">
      <c r="A39" s="474"/>
      <c r="B39" s="477"/>
      <c r="C39" s="355"/>
      <c r="D39" s="355"/>
      <c r="E39" s="355"/>
      <c r="F39" s="393"/>
      <c r="G39" s="159"/>
      <c r="H39" s="28"/>
      <c r="I39" s="27"/>
      <c r="J39" s="131"/>
      <c r="K39" s="172"/>
      <c r="L39" s="29"/>
      <c r="M39" s="85"/>
      <c r="N39" s="30"/>
    </row>
    <row r="40" spans="1:14" x14ac:dyDescent="0.35">
      <c r="A40" s="474"/>
      <c r="B40" s="477"/>
      <c r="C40" s="355"/>
      <c r="D40" s="355"/>
      <c r="E40" s="355"/>
      <c r="F40" s="393"/>
      <c r="G40" s="140"/>
      <c r="H40" s="28"/>
      <c r="I40" s="15"/>
      <c r="J40" s="120"/>
      <c r="K40" s="94"/>
      <c r="L40" s="16"/>
      <c r="M40" s="139"/>
      <c r="N40" s="95"/>
    </row>
    <row r="41" spans="1:14" x14ac:dyDescent="0.35">
      <c r="A41" s="474"/>
      <c r="B41" s="477"/>
      <c r="C41" s="355"/>
      <c r="D41" s="355"/>
      <c r="E41" s="355"/>
      <c r="F41" s="393"/>
      <c r="G41" s="140"/>
      <c r="H41" s="26"/>
      <c r="I41" s="15"/>
      <c r="J41" s="120"/>
      <c r="K41" s="94"/>
      <c r="L41" s="16"/>
      <c r="M41" s="139"/>
      <c r="N41" s="95"/>
    </row>
    <row r="42" spans="1:14" x14ac:dyDescent="0.35">
      <c r="A42" s="474"/>
      <c r="B42" s="477"/>
      <c r="C42" s="355"/>
      <c r="D42" s="355"/>
      <c r="E42" s="355"/>
      <c r="F42" s="393"/>
      <c r="G42" s="140"/>
      <c r="H42" s="26"/>
      <c r="I42" s="15"/>
      <c r="J42" s="120"/>
      <c r="K42" s="94"/>
      <c r="L42" s="16"/>
      <c r="M42" s="139"/>
      <c r="N42" s="95"/>
    </row>
    <row r="43" spans="1:14" x14ac:dyDescent="0.35">
      <c r="A43" s="474"/>
      <c r="B43" s="477"/>
      <c r="C43" s="355"/>
      <c r="D43" s="355"/>
      <c r="E43" s="355"/>
      <c r="F43" s="393"/>
      <c r="G43" s="140"/>
      <c r="H43" s="26"/>
      <c r="I43" s="15"/>
      <c r="J43" s="120"/>
      <c r="K43" s="94"/>
      <c r="L43" s="16"/>
      <c r="M43" s="139"/>
      <c r="N43" s="95"/>
    </row>
    <row r="44" spans="1:14" ht="15" thickBot="1" x14ac:dyDescent="0.4">
      <c r="A44" s="475"/>
      <c r="B44" s="478"/>
      <c r="C44" s="356"/>
      <c r="D44" s="356"/>
      <c r="E44" s="356"/>
      <c r="F44" s="394"/>
      <c r="G44" s="59"/>
      <c r="H44" s="25"/>
      <c r="I44" s="12"/>
      <c r="J44" s="34"/>
      <c r="K44" s="177"/>
      <c r="L44" s="13"/>
      <c r="M44" s="84"/>
      <c r="N44" s="14"/>
    </row>
    <row r="45" spans="1:14" ht="15" thickTop="1" x14ac:dyDescent="0.35"/>
  </sheetData>
  <mergeCells count="48">
    <mergeCell ref="F25:F34"/>
    <mergeCell ref="A35:A44"/>
    <mergeCell ref="B35:B44"/>
    <mergeCell ref="C35:C44"/>
    <mergeCell ref="D35:D44"/>
    <mergeCell ref="E35:E44"/>
    <mergeCell ref="F35:F44"/>
    <mergeCell ref="A25:A34"/>
    <mergeCell ref="B25:B34"/>
    <mergeCell ref="C25:C34"/>
    <mergeCell ref="D25:D34"/>
    <mergeCell ref="E25:E34"/>
    <mergeCell ref="D5:D8"/>
    <mergeCell ref="E5:E8"/>
    <mergeCell ref="F5:F8"/>
    <mergeCell ref="F13:F16"/>
    <mergeCell ref="A2:A4"/>
    <mergeCell ref="B2:B4"/>
    <mergeCell ref="C2:C4"/>
    <mergeCell ref="D2:D4"/>
    <mergeCell ref="E2:E4"/>
    <mergeCell ref="F2:F4"/>
    <mergeCell ref="A9:A12"/>
    <mergeCell ref="B9:B12"/>
    <mergeCell ref="C9:C12"/>
    <mergeCell ref="D9:D12"/>
    <mergeCell ref="E9:E12"/>
    <mergeCell ref="F9:F12"/>
    <mergeCell ref="A5:A8"/>
    <mergeCell ref="B5:B8"/>
    <mergeCell ref="C5:C8"/>
    <mergeCell ref="A13:A16"/>
    <mergeCell ref="B13:B16"/>
    <mergeCell ref="C13:C16"/>
    <mergeCell ref="D13:D16"/>
    <mergeCell ref="E13:E16"/>
    <mergeCell ref="F21:F24"/>
    <mergeCell ref="A17:A20"/>
    <mergeCell ref="B17:B20"/>
    <mergeCell ref="C17:C20"/>
    <mergeCell ref="D17:D20"/>
    <mergeCell ref="E17:E20"/>
    <mergeCell ref="F17:F20"/>
    <mergeCell ref="A21:A24"/>
    <mergeCell ref="B21:B24"/>
    <mergeCell ref="C21:C24"/>
    <mergeCell ref="D21:D24"/>
    <mergeCell ref="E21:E24"/>
  </mergeCells>
  <conditionalFormatting sqref="M2:M44">
    <cfRule type="cellIs" dxfId="0" priority="1" operator="equal">
      <formula>"Fail"</formula>
    </cfRule>
  </conditionalFormatting>
  <dataValidations disablePrompts="1" count="1">
    <dataValidation type="list" allowBlank="1" showInputMessage="1" showErrorMessage="1" sqref="D2:D4" xr:uid="{2BB38856-7912-4EAD-A005-61A388FBBAF8}">
      <formula1>$R$2:$R$7</formula1>
    </dataValidation>
  </dataValidations>
  <printOptions horizontalCentered="1"/>
  <pageMargins left="0.7" right="0.7" top="1.25" bottom="0.75" header="0.55000000000000004" footer="0.3"/>
  <pageSetup scale="72" fitToHeight="0" orientation="landscape" r:id="rId1"/>
  <headerFooter>
    <oddHeader xml:space="preserve">&amp;C&amp;"-,Bold"San Francisco International Airport 
Contract No. 11656.71&amp;"-,Regular"
T&amp;"-,Bold"axiway D &amp; T Reconstruction - Stage 2
 P-610 QA Concrete Failing Breaks 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46C81-8127-4E08-AF77-64C53CC5819D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P-610 28-Day</vt:lpstr>
      <vt:lpstr>P-610 HES</vt:lpstr>
      <vt:lpstr>Concrete schedule</vt:lpstr>
      <vt:lpstr>Failing Concrete</vt:lpstr>
      <vt:lpstr>Sheet2</vt:lpstr>
      <vt:lpstr>'Failing Concrete'!Print_Area</vt:lpstr>
      <vt:lpstr>'P-610 28-Day'!Print_Area</vt:lpstr>
      <vt:lpstr>'P-610 HES'!Print_Area</vt:lpstr>
      <vt:lpstr>'P-610 28-Day'!Print_Titles</vt:lpstr>
      <vt:lpstr>'P-610 HES'!Print_Titles</vt:lpstr>
    </vt:vector>
  </TitlesOfParts>
  <Company>AECOM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EspirituJ</dc:creator>
  <cp:lastModifiedBy>Chris Sanchez</cp:lastModifiedBy>
  <cp:lastPrinted>2025-03-21T18:18:38Z</cp:lastPrinted>
  <dcterms:created xsi:type="dcterms:W3CDTF">2011-02-09T16:58:53Z</dcterms:created>
  <dcterms:modified xsi:type="dcterms:W3CDTF">2026-04-13T18:41:25Z</dcterms:modified>
</cp:coreProperties>
</file>